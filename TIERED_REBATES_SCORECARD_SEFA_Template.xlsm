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320ee6d67a05278/D_Documents/Projects_AKG/Vollrath_TCPP/"/>
    </mc:Choice>
  </mc:AlternateContent>
  <xr:revisionPtr revIDLastSave="345" documentId="8_{3537B79A-B72F-4A64-9DA2-70BC0AC2D5E7}" xr6:coauthVersionLast="47" xr6:coauthVersionMax="47" xr10:uidLastSave="{DCDA0410-8469-43CE-B9F9-53A881E7EF6D}"/>
  <bookViews>
    <workbookView xWindow="2180" yWindow="1460" windowWidth="32240" windowHeight="17770" tabRatio="793" xr2:uid="{00000000-000D-0000-FFFF-FFFF00000000}"/>
  </bookViews>
  <sheets>
    <sheet name="Main_Page" sheetId="8" r:id="rId1"/>
    <sheet name="Snowflake_Data" sheetId="1" r:id="rId2"/>
    <sheet name="TCPP_SCORECARD_SUMMARY" sheetId="3" state="hidden" r:id="rId3"/>
    <sheet name="TCPP_SCORECARD_DETAIL" sheetId="4" state="hidden" r:id="rId4"/>
    <sheet name="GroupBy_Summary" sheetId="10" r:id="rId5"/>
    <sheet name="GroupBy_Detail" sheetId="11" r:id="rId6"/>
    <sheet name="Report_Summary" sheetId="5" r:id="rId7"/>
    <sheet name="Report_Detail" sheetId="7" r:id="rId8"/>
  </sheets>
  <definedNames>
    <definedName name="_xlnm._FilterDatabase" localSheetId="1" hidden="1">Snowflake_Data!$A$1:$AF$1</definedName>
    <definedName name="_xleta.AVERAGE" hidden="1" xlm="1">#NAME?</definedName>
    <definedName name="_xleta.CHOOSECOLS" hidden="1" xlm="1">#NAME?</definedName>
    <definedName name="_xleta.FILTER" hidden="1" xlm="1">#NAME?</definedName>
    <definedName name="_xleta.HSTACK" hidden="1" xlm="1">#NAME?</definedName>
    <definedName name="_xleta.IFNA" hidden="1" xlm="1">#NAME?</definedName>
    <definedName name="_xleta.MODE" hidden="1" xlm="1">#NAME?</definedName>
    <definedName name="_xleta.MODE.MULT" hidden="1" xlm="1">#NAME?</definedName>
    <definedName name="_xleta.SUM" hidden="1" xlm="1">#NAME?</definedName>
    <definedName name="_xleta.UNIQUE" hidden="1" xlm="1">#NAME?</definedName>
    <definedName name="_xlpm.matrix" hidden="1" xlm="1">#NAME?</definedName>
    <definedName name="_xlpm.x" hidden="1" xlm="1">#NAME?</definedName>
    <definedName name="Customer_Name" localSheetId="5">GroupBy_Detail!$E$1</definedName>
    <definedName name="Customer_Name" localSheetId="4">GroupBy_Summary!$E$1</definedName>
    <definedName name="Customer_Name">TCPP_SCORECARD_SUMMARY!$E$1</definedName>
    <definedName name="_xlnm.Print_Area" localSheetId="7">Report_Detail!$A$1:$O$50</definedName>
    <definedName name="_xlnm.Print_Area" localSheetId="6">Report_Summary!$A$1:$J$31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0" l="1"/>
  <c r="A3" i="10" l="1" a="1"/>
  <c r="A3" i="10" s="1"/>
  <c r="A3" i="11" l="1" a="1"/>
  <c r="A3" i="11" s="1"/>
  <c r="C1" i="11"/>
  <c r="G2" i="11" s="1"/>
  <c r="A6" i="7"/>
  <c r="A6" i="5"/>
  <c r="E2" i="11" a="1"/>
  <c r="E2" i="11" s="1"/>
  <c r="G1" i="11" a="1"/>
  <c r="G1" i="11" s="1"/>
  <c r="E1" i="11" a="1"/>
  <c r="E1" i="11" s="1"/>
  <c r="A9" i="7" l="1" a="1"/>
  <c r="A9" i="7" s="1"/>
  <c r="G1" i="10" a="1"/>
  <c r="G1" i="10" s="1"/>
  <c r="G2" i="10"/>
  <c r="E2" i="10" a="1"/>
  <c r="E2" i="10" s="1"/>
  <c r="E1" i="10" a="1"/>
  <c r="E1" i="10" s="1"/>
  <c r="E1" i="3" a="1"/>
  <c r="E1" i="3" s="1"/>
  <c r="G2" i="3"/>
  <c r="G1" i="3" a="1"/>
  <c r="G1" i="3" s="1"/>
  <c r="E2" i="3" a="1"/>
  <c r="E2" i="3" s="1"/>
  <c r="C4" i="7" l="1"/>
  <c r="C4" i="5"/>
  <c r="A9" i="5" a="1"/>
  <c r="A9" i="5" s="1"/>
  <c r="A3" i="5"/>
  <c r="A3" i="7"/>
  <c r="A4" i="7"/>
  <c r="A4" i="5"/>
  <c r="B4" i="5"/>
  <c r="B4" i="7"/>
  <c r="E2" i="4" a="1"/>
  <c r="E2" i="4" s="1"/>
  <c r="G1" i="4" a="1"/>
  <c r="G1" i="4" s="1"/>
  <c r="E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<sst xmlns="http://schemas.openxmlformats.org/spreadsheetml/2006/main" count="340" uniqueCount="128">
  <si>
    <t>REPORT_SECTION</t>
  </si>
  <si>
    <t>REPORT_SECTION_SEQ</t>
  </si>
  <si>
    <t>REPORT_SECTION_HEADER</t>
  </si>
  <si>
    <t>TCPP_PARENT_CODE</t>
  </si>
  <si>
    <t>TCPP_PARENT_NAME</t>
  </si>
  <si>
    <t>TCPP_SEFA_FILTER</t>
  </si>
  <si>
    <t>TCPP_REPORT_TYPE</t>
  </si>
  <si>
    <t>SCORECARD_FILTER</t>
  </si>
  <si>
    <t>REPORT_DATE</t>
  </si>
  <si>
    <t>PRODUCT_CATEGORY</t>
  </si>
  <si>
    <t>PRODUCT_SUB_CATEGORY</t>
  </si>
  <si>
    <t>SCORECARD_METRIC_NAME</t>
  </si>
  <si>
    <t>PREVIOUS_YEAR3_SALES</t>
  </si>
  <si>
    <t>PREVIOUS_YEAR2_SALES</t>
  </si>
  <si>
    <t>PREVIOUS_YEAR_SALES</t>
  </si>
  <si>
    <t>THREE_YEAR_AVG</t>
  </si>
  <si>
    <t>PREVIOUS_YEAR_VARIANCE</t>
  </si>
  <si>
    <t>PREVIOUS_YEAR_3YEAR_AVG_VARIANCE</t>
  </si>
  <si>
    <t>TARGET_VALUE</t>
  </si>
  <si>
    <t>ACTUAL_VALUE</t>
  </si>
  <si>
    <t>TARGET_AMOUNT</t>
  </si>
  <si>
    <t>ACTUAL_AMOUNT</t>
  </si>
  <si>
    <t>TARGET_METRIC_CNT</t>
  </si>
  <si>
    <t>SCORECARD_METRIC_CNT</t>
  </si>
  <si>
    <t>SCORECARD_TALLY_CNT</t>
  </si>
  <si>
    <t>SCORECARD_METRIC_MET</t>
  </si>
  <si>
    <t>TOTAL_METRIC_MET_CNT</t>
  </si>
  <si>
    <t>PERCENT_TO_TARGET</t>
  </si>
  <si>
    <t>AMOUNT_REMAINING</t>
  </si>
  <si>
    <t>QUALIFIED_LEVEL</t>
  </si>
  <si>
    <t>LAST_UPDATE</t>
  </si>
  <si>
    <t>Sum of TARGET_AMOUNT</t>
  </si>
  <si>
    <t>Sum of ACTUAL_AMOUNT</t>
  </si>
  <si>
    <t>(blank)</t>
  </si>
  <si>
    <t>Sum of SCORECARD_TALLY_CNT</t>
  </si>
  <si>
    <t>Max of SCORECARD_METRIC_CNT</t>
  </si>
  <si>
    <t>Average of TARGET_VALUE</t>
  </si>
  <si>
    <t>Average of ACTUAL_VALUE</t>
  </si>
  <si>
    <t>SCORECARD_DESCRIPTION</t>
  </si>
  <si>
    <t>Customer Name</t>
  </si>
  <si>
    <t>Qualified Level</t>
  </si>
  <si>
    <t>Total Points</t>
  </si>
  <si>
    <t>Sum of AMOUNT_REMAINING</t>
  </si>
  <si>
    <t>Sum of PREVIOUS_YEAR_SALES</t>
  </si>
  <si>
    <t>Sum of PREVIOUS_YEAR2_SALES</t>
  </si>
  <si>
    <t>Sum of PREVIOUS_YEAR3_SALES</t>
  </si>
  <si>
    <t>Sum of THREE_YEAR_AVG</t>
  </si>
  <si>
    <t>Sum of PERCENT_TO_TARGET</t>
  </si>
  <si>
    <t>DETAIL_FILTER</t>
  </si>
  <si>
    <t>TRUE</t>
  </si>
  <si>
    <t>SUMMARY_FILTER</t>
  </si>
  <si>
    <t>Actual Amount</t>
  </si>
  <si>
    <t>Vollrath Business Development Scorecard</t>
  </si>
  <si>
    <t>Previous Year</t>
  </si>
  <si>
    <t>Y</t>
  </si>
  <si>
    <t>01-10</t>
  </si>
  <si>
    <t>Annual Product Sales</t>
  </si>
  <si>
    <t>TIER QUALIFIER</t>
  </si>
  <si>
    <t>01-20</t>
  </si>
  <si>
    <t>MINIMUM PRODUCT TIER</t>
  </si>
  <si>
    <t>N</t>
  </si>
  <si>
    <t>02-10</t>
  </si>
  <si>
    <t>Growth over Market(3yr Avg)</t>
  </si>
  <si>
    <t>SMALLWARES</t>
  </si>
  <si>
    <t>DISPENSING &amp; DELIVERY</t>
  </si>
  <si>
    <t>WARE WASH &amp; HANDLING</t>
  </si>
  <si>
    <t>PANS &amp; ACCESSORIES</t>
  </si>
  <si>
    <t>KITCHEN ESSENTIALS</t>
  </si>
  <si>
    <t>COOKWARE &amp; BAKEWARE</t>
  </si>
  <si>
    <t>BUFFET &amp; TABLETOP</t>
  </si>
  <si>
    <t>02-11</t>
  </si>
  <si>
    <t>SMALLWARES TOTAL</t>
  </si>
  <si>
    <t>02-20</t>
  </si>
  <si>
    <t>COUNTERTOP EQUIPMENT</t>
  </si>
  <si>
    <t>MERCHANDISE &amp; DISPLAY</t>
  </si>
  <si>
    <t>REFRIG SVG EQ-STOELTING</t>
  </si>
  <si>
    <t>PREP EQUIPMENT</t>
  </si>
  <si>
    <t>COOK EQUIPMENT</t>
  </si>
  <si>
    <t>WARMING EQUIPMENT</t>
  </si>
  <si>
    <t>02-21</t>
  </si>
  <si>
    <t>COUNTERTOP EQUIPMENT TOTAL</t>
  </si>
  <si>
    <t>02-30</t>
  </si>
  <si>
    <t>SERVING SYS &amp; COMPONENTS</t>
  </si>
  <si>
    <t>FAB COMPONENTS</t>
  </si>
  <si>
    <t>SERVING SYSTEMS</t>
  </si>
  <si>
    <t>02-31</t>
  </si>
  <si>
    <t>SERVING SYS &amp; COMPONENTS TOTAL</t>
  </si>
  <si>
    <t>03-10</t>
  </si>
  <si>
    <t>Leads With Vollrath</t>
  </si>
  <si>
    <t>03-11</t>
  </si>
  <si>
    <t>03-20</t>
  </si>
  <si>
    <t>03-21</t>
  </si>
  <si>
    <t>COOK EQUIPMENT TOTAL</t>
  </si>
  <si>
    <t>03-30</t>
  </si>
  <si>
    <t>03-31</t>
  </si>
  <si>
    <t>PREP EQUIPMENT TOTAL</t>
  </si>
  <si>
    <t>03-40</t>
  </si>
  <si>
    <t>03-41</t>
  </si>
  <si>
    <t>WARMING EQUIPMENT TOTAL</t>
  </si>
  <si>
    <t>03-50</t>
  </si>
  <si>
    <t>03-51</t>
  </si>
  <si>
    <t>03-61</t>
  </si>
  <si>
    <t>LEAD_SCORECARD_QUALIFIER</t>
  </si>
  <si>
    <t>LEADS WITH VOLLRATH QUALIFIER</t>
  </si>
  <si>
    <t>05-10</t>
  </si>
  <si>
    <t>Drop Ship Requirements</t>
  </si>
  <si>
    <t>DROP SHIP</t>
  </si>
  <si>
    <t>06-10</t>
  </si>
  <si>
    <t>New Product Support</t>
  </si>
  <si>
    <t>NEW PRODUCT</t>
  </si>
  <si>
    <t>07-10</t>
  </si>
  <si>
    <t>Meets Ordering Performance</t>
  </si>
  <si>
    <t>vollrath_carrier_met=Y avoid_acessorial_charges_met=Y</t>
  </si>
  <si>
    <t>07-20</t>
  </si>
  <si>
    <t>Marketing Support</t>
  </si>
  <si>
    <t>07-30</t>
  </si>
  <si>
    <t>Access &amp; Training</t>
  </si>
  <si>
    <t>Sales Less Then Target = Bronze, Greater Then Target = Silver, Gold or Platinum</t>
  </si>
  <si>
    <t>Sales Greater Than Target</t>
  </si>
  <si>
    <t xml:space="preserve"> Exceeds Nominal Growth</t>
  </si>
  <si>
    <t>Meet Smallwares and 1 out of 4 equipment</t>
  </si>
  <si>
    <t>Meets Drop Ship Requirements</t>
  </si>
  <si>
    <t>Allows Carrier Selection and Avoids Accessorial Charges</t>
  </si>
  <si>
    <t>Approved Marketing Plan/Usage of co-op funds</t>
  </si>
  <si>
    <t>Access to End Users</t>
  </si>
  <si>
    <t>Report Date</t>
  </si>
  <si>
    <t>Please allow macros; they are essential to refresh the report and to create PDF files.</t>
  </si>
  <si>
    <t>Please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</si>
</sst>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%"/>
    <numFmt numFmtId="167" formatCode="_(&quot;$&quot;* #,##0_);_(&quot;$&quot;* \(#,##0\);_(&quot;$&quot;* &quot;-&quot;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rgb="FF1A1A1A"/>
      <name val="Aptos Narrow"/>
      <family val="2"/>
      <scheme val="minor"/>
    </font>
    <font>
      <b/>
      <sz val="12"/>
      <color rgb="FF1A1A1A"/>
      <name val="Aptos Narrow"/>
      <family val="2"/>
      <scheme val="minor"/>
    </font>
    <font>
      <sz val="10"/>
      <color rgb="FF333333"/>
      <name val="Aptos Narrow"/>
      <family val="2"/>
      <scheme val="minor"/>
    </font>
    <font>
      <b/>
      <sz val="11"/>
      <color rgb="FF1A1A1A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666666"/>
      <name val="Aptos Narrow"/>
      <family val="2"/>
      <scheme val="minor"/>
    </font>
    <font>
      <b/>
      <sz val="11"/>
      <color rgb="FF000000"/>
      <name val="Aptos Narrow"/>
      <family val="2"/>
    </font>
    <font>
      <sz val="18"/>
      <color theme="1"/>
      <name val="Aptos Narrow"/>
      <family val="2"/>
      <scheme val="minor"/>
    </font>
    <font>
      <b/>
      <i/>
      <sz val="11"/>
      <color theme="5"/>
      <name val="Aptos Narrow"/>
      <family val="2"/>
      <scheme val="minor"/>
    </font>
    <font>
      <b/>
      <sz val="11"/>
      <color theme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8F0E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4A7A2A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thick">
        <color theme="7"/>
      </left>
      <right/>
      <top style="thick">
        <color theme="7"/>
      </top>
      <bottom/>
      <diagonal/>
    </border>
    <border>
      <left/>
      <right/>
      <top style="thick">
        <color theme="7"/>
      </top>
      <bottom/>
      <diagonal/>
    </border>
    <border>
      <left/>
      <right style="thick">
        <color theme="7"/>
      </right>
      <top style="thick">
        <color theme="7"/>
      </top>
      <bottom/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/>
      <right style="thick">
        <color theme="7"/>
      </right>
      <top/>
      <bottom style="thick">
        <color theme="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ck">
        <color theme="5"/>
      </top>
      <bottom/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/>
      <top/>
      <bottom style="medium">
        <color theme="9" tint="-0.24994659260841701"/>
      </bottom>
      <diagonal/>
    </border>
  </borders>
  <cellStyleXfs count="4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pivotButton="1"/>
    <xf numFmtId="164" fontId="0" fillId="0" borderId="0" xfId="0" applyNumberFormat="1"/>
    <xf numFmtId="0" fontId="16" fillId="0" borderId="0" xfId="0" applyFont="1"/>
    <xf numFmtId="44" fontId="0" fillId="0" borderId="0" xfId="1" applyFont="1"/>
    <xf numFmtId="165" fontId="0" fillId="0" borderId="0" xfId="0" applyNumberFormat="1"/>
    <xf numFmtId="9" fontId="0" fillId="0" borderId="0" xfId="43" applyFont="1"/>
    <xf numFmtId="0" fontId="19" fillId="0" borderId="0" xfId="0" applyFont="1"/>
    <xf numFmtId="0" fontId="20" fillId="0" borderId="0" xfId="0" applyFont="1" applyAlignment="1">
      <alignment horizontal="right"/>
    </xf>
    <xf numFmtId="0" fontId="21" fillId="34" borderId="0" xfId="0" applyFont="1" applyFill="1"/>
    <xf numFmtId="0" fontId="21" fillId="34" borderId="0" xfId="0" applyFont="1" applyFill="1" applyAlignment="1">
      <alignment horizontal="left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4" xfId="0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1" xfId="0" applyFont="1" applyBorder="1" applyAlignment="1">
      <alignment horizontal="center" vertical="center"/>
    </xf>
    <xf numFmtId="0" fontId="23" fillId="0" borderId="16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5" fillId="0" borderId="0" xfId="0" applyFont="1"/>
    <xf numFmtId="0" fontId="20" fillId="0" borderId="0" xfId="0" applyFont="1" applyAlignment="1">
      <alignment horizontal="left"/>
    </xf>
    <xf numFmtId="0" fontId="24" fillId="0" borderId="0" xfId="0" applyFont="1"/>
    <xf numFmtId="0" fontId="13" fillId="36" borderId="28" xfId="0" applyFont="1" applyFill="1" applyBorder="1"/>
    <xf numFmtId="0" fontId="13" fillId="36" borderId="29" xfId="0" applyFont="1" applyFill="1" applyBorder="1"/>
    <xf numFmtId="44" fontId="13" fillId="36" borderId="29" xfId="1" applyFont="1" applyFill="1" applyBorder="1"/>
    <xf numFmtId="9" fontId="13" fillId="36" borderId="29" xfId="43" applyFont="1" applyFill="1" applyBorder="1"/>
    <xf numFmtId="0" fontId="13" fillId="36" borderId="30" xfId="0" applyFont="1" applyFill="1" applyBorder="1"/>
    <xf numFmtId="9" fontId="16" fillId="0" borderId="0" xfId="43" applyFont="1"/>
    <xf numFmtId="0" fontId="16" fillId="0" borderId="31" xfId="0" applyFont="1" applyBorder="1"/>
    <xf numFmtId="9" fontId="16" fillId="0" borderId="31" xfId="43" applyFont="1" applyBorder="1"/>
    <xf numFmtId="0" fontId="28" fillId="0" borderId="0" xfId="0" applyFont="1"/>
    <xf numFmtId="14" fontId="0" fillId="0" borderId="0" xfId="0" applyNumberFormat="1"/>
    <xf numFmtId="49" fontId="0" fillId="0" borderId="0" xfId="0" applyNumberFormat="1"/>
    <xf numFmtId="0" fontId="27" fillId="0" borderId="20" xfId="0" applyFont="1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2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29" fillId="0" borderId="32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18" fillId="33" borderId="10" xfId="0" applyFont="1" applyFill="1" applyBorder="1" applyAlignment="1">
      <alignment horizontal="center"/>
    </xf>
    <xf numFmtId="0" fontId="30" fillId="0" borderId="0" xfId="44" applyBorder="1" applyAlignment="1">
      <alignment horizontal="center"/>
    </xf>
    <xf numFmtId="0" fontId="30" fillId="0" borderId="36" xfId="44" applyBorder="1" applyAlignment="1">
      <alignment horizontal="center"/>
    </xf>
    <xf numFmtId="167" fontId="28" fillId="0" borderId="0" xfId="1" applyNumberFormat="1" applyFont="1"/>
    <xf numFmtId="165" fontId="0" fillId="0" borderId="0" xfId="43" applyNumberFormat="1" applyFont="1"/>
    <xf numFmtId="165" fontId="16" fillId="0" borderId="31" xfId="43" applyNumberFormat="1" applyFont="1" applyBorder="1"/>
    <xf numFmtId="165" fontId="16" fillId="0" borderId="0" xfId="43" applyNumberFormat="1" applyFont="1"/>
    <xf numFmtId="167" fontId="0" fillId="0" borderId="0" xfId="1" applyNumberFormat="1" applyFont="1"/>
    <xf numFmtId="167" fontId="16" fillId="0" borderId="31" xfId="1" applyNumberFormat="1" applyFont="1" applyBorder="1"/>
    <xf numFmtId="167" fontId="16" fillId="0" borderId="0" xfId="1" applyNumberFormat="1" applyFont="1"/>
    <xf numFmtId="165" fontId="22" fillId="35" borderId="12" xfId="43" applyNumberFormat="1" applyFont="1" applyFill="1" applyBorder="1" applyAlignment="1">
      <alignment horizontal="center" vertical="center" wrapText="1"/>
    </xf>
    <xf numFmtId="165" fontId="24" fillId="0" borderId="11" xfId="43" applyNumberFormat="1" applyFont="1" applyBorder="1" applyAlignment="1">
      <alignment vertical="center"/>
    </xf>
    <xf numFmtId="165" fontId="24" fillId="0" borderId="13" xfId="43" applyNumberFormat="1" applyFont="1" applyBorder="1" applyAlignment="1">
      <alignment vertical="center"/>
    </xf>
    <xf numFmtId="167" fontId="22" fillId="35" borderId="12" xfId="1" applyNumberFormat="1" applyFont="1" applyFill="1" applyBorder="1" applyAlignment="1">
      <alignment horizontal="center" vertical="center" wrapText="1"/>
    </xf>
    <xf numFmtId="167" fontId="22" fillId="35" borderId="17" xfId="1" applyNumberFormat="1" applyFont="1" applyFill="1" applyBorder="1" applyAlignment="1">
      <alignment horizontal="center" vertical="center" wrapText="1"/>
    </xf>
    <xf numFmtId="167" fontId="24" fillId="0" borderId="11" xfId="1" applyNumberFormat="1" applyFont="1" applyBorder="1" applyAlignment="1">
      <alignment vertical="center"/>
    </xf>
    <xf numFmtId="167" fontId="24" fillId="0" borderId="18" xfId="1" applyNumberFormat="1" applyFont="1" applyBorder="1" applyAlignment="1">
      <alignment vertical="center"/>
    </xf>
    <xf numFmtId="167" fontId="24" fillId="0" borderId="13" xfId="1" applyNumberFormat="1" applyFont="1" applyBorder="1" applyAlignment="1">
      <alignment vertical="center"/>
    </xf>
    <xf numFmtId="167" fontId="24" fillId="0" borderId="19" xfId="1" applyNumberFormat="1" applyFont="1" applyBorder="1" applyAlignment="1">
      <alignment vertical="center"/>
    </xf>
    <xf numFmtId="165" fontId="22" fillId="35" borderId="14" xfId="43" applyNumberFormat="1" applyFont="1" applyFill="1" applyBorder="1" applyAlignment="1">
      <alignment horizontal="center" vertical="center" wrapText="1"/>
    </xf>
    <xf numFmtId="165" fontId="24" fillId="0" borderId="0" xfId="43" applyNumberFormat="1" applyFont="1"/>
    <xf numFmtId="167" fontId="22" fillId="35" borderId="14" xfId="1" applyNumberFormat="1" applyFont="1" applyFill="1" applyBorder="1" applyAlignment="1">
      <alignment horizontal="center" vertical="center" wrapText="1"/>
    </xf>
    <xf numFmtId="167" fontId="24" fillId="0" borderId="0" xfId="1" applyNumberFormat="1" applyFont="1"/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4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17</xdr:row>
          <xdr:rowOff>152400</xdr:rowOff>
        </xdr:from>
        <xdr:to>
          <xdr:col>7</xdr:col>
          <xdr:colOff>603250</xdr:colOff>
          <xdr:row>21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PDF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n Giddu" refreshedDate="46219.752534953703" createdVersion="8" refreshedVersion="8" minRefreshableVersion="3" recordCount="115" xr:uid="{11936AA7-138D-49D1-9B89-B102F787BFC6}">
  <cacheSource type="worksheet">
    <worksheetSource ref="A1:AH1048576" sheet="Snowflake_Data"/>
  </cacheSource>
  <cacheFields count="34">
    <cacheField name="REPORT_SECTION" numFmtId="0">
      <sharedItems containsBlank="1"/>
    </cacheField>
    <cacheField name="REPORT_SECTION_SEQ" numFmtId="0">
      <sharedItems containsBlank="1" count="26">
        <s v="00-10"/>
        <s v="01-10"/>
        <s v="01-20"/>
        <s v="02-10"/>
        <s v="02-11"/>
        <s v="02-20"/>
        <s v="02-21"/>
        <s v="02-30"/>
        <s v="02-31"/>
        <s v="03-10"/>
        <s v="03-11"/>
        <s v="03-20"/>
        <s v="03-21"/>
        <s v="03-30"/>
        <s v="03-31"/>
        <s v="03-40"/>
        <s v="03-41"/>
        <s v="03-50"/>
        <s v="03-51"/>
        <s v="03-61"/>
        <s v="05-10"/>
        <s v="06-10"/>
        <s v="07-10"/>
        <s v="07-20"/>
        <s v="07-30"/>
        <m/>
      </sharedItems>
    </cacheField>
    <cacheField name="REPORT_SECTION_HEADER" numFmtId="0">
      <sharedItems containsBlank="1" count="10">
        <s v="Qualified Tier Level"/>
        <s v="Annual Product Sales"/>
        <s v="Growth over Market(3yr Avg)"/>
        <s v="Leads With Vollrath"/>
        <s v="Drop Ship Requirements"/>
        <s v="New Product Support"/>
        <s v="Meets Ordering Performance"/>
        <s v="Marketing Support"/>
        <s v="Access &amp; Training"/>
        <m/>
      </sharedItems>
    </cacheField>
    <cacheField name="TCPP_PARENT_CODE" numFmtId="0">
      <sharedItems containsBlank="1"/>
    </cacheField>
    <cacheField name="TCPP_PARENT_NAME" numFmtId="0">
      <sharedItems containsBlank="1"/>
    </cacheField>
    <cacheField name="TCPP_SEFA_FILTER" numFmtId="0">
      <sharedItems containsBlank="1"/>
    </cacheField>
    <cacheField name="TCPP_REPORT_TYPE" numFmtId="0">
      <sharedItems containsBlank="1"/>
    </cacheField>
    <cacheField name="SCORECARD_FILTER" numFmtId="0">
      <sharedItems containsBlank="1"/>
    </cacheField>
    <cacheField name="REPORT_DATE" numFmtId="0">
      <sharedItems containsBlank="1" count="4">
        <s v="Previous Year"/>
        <s v="Current Year"/>
        <s v="Previous Quarter"/>
        <m/>
      </sharedItems>
    </cacheField>
    <cacheField name="PRODUCT_CATEGORY" numFmtId="0">
      <sharedItems containsBlank="1" count="13">
        <m/>
        <s v="TIER QUALIFIER"/>
        <s v="MINIMUM PRODUCT TIER"/>
        <s v="SMALLWARES"/>
        <s v="COUNTERTOP EQUIPMENT"/>
        <s v="SERVING SYS &amp; COMPONENTS"/>
        <s v="COOK EQUIPMENT"/>
        <s v="PREP EQUIPMENT"/>
        <s v="WARMING EQUIPMENT"/>
        <s v="LEAD_SCORECARD_QUALIFIER"/>
        <s v="DROP SHIP"/>
        <s v="NEW PRODUCT"/>
        <s v="vollrath_carrier_met=Y avoid_acessorial_charges_met=Y"/>
      </sharedItems>
    </cacheField>
    <cacheField name="PRODUCT_SUB_CATEGORY" numFmtId="0">
      <sharedItems containsBlank="1" count="21">
        <m/>
        <s v="DISPENSING &amp; DELIVERY"/>
        <s v="WARE WASH &amp; HANDLING"/>
        <s v="PANS &amp; ACCESSORIES"/>
        <s v="KITCHEN ESSENTIALS"/>
        <s v="COOKWARE &amp; BAKEWARE"/>
        <s v="BUFFET &amp; TABLETOP"/>
        <s v="SMALLWARES TOTAL"/>
        <s v="MERCHANDISE &amp; DISPLAY"/>
        <s v="REFRIG SVG EQ-STOELTING"/>
        <s v="PREP EQUIPMENT"/>
        <s v="COOK EQUIPMENT"/>
        <s v="WARMING EQUIPMENT"/>
        <s v="COUNTERTOP EQUIPMENT TOTAL"/>
        <s v="FAB COMPONENTS"/>
        <s v="SERVING SYSTEMS"/>
        <s v="SERVING SYS &amp; COMPONENTS TOTAL"/>
        <s v="COOK EQUIPMENT TOTAL"/>
        <s v="PREP EQUIPMENT TOTAL"/>
        <s v="WARMING EQUIPMENT TOTAL"/>
        <s v="LEADS WITH VOLLRATH QUALIFIER"/>
      </sharedItems>
    </cacheField>
    <cacheField name="SCORECARD_METRIC_NAME" numFmtId="0">
      <sharedItems containsBlank="1"/>
    </cacheField>
    <cacheField name="PREVIOUS_YEAR3_SALES" numFmtId="0">
      <sharedItems containsString="0" containsBlank="1" containsNumber="1" minValue="0" maxValue="1182062.42"/>
    </cacheField>
    <cacheField name="PREVIOUS_YEAR2_SALES" numFmtId="44">
      <sharedItems containsString="0" containsBlank="1" containsNumber="1" minValue="413.28" maxValue="1182062.42"/>
    </cacheField>
    <cacheField name="PREVIOUS_YEAR_SALES" numFmtId="0">
      <sharedItems containsString="0" containsBlank="1" containsNumber="1" minValue="206.21" maxValue="1086914.17"/>
    </cacheField>
    <cacheField name="THREE_YEAR_AVG" numFmtId="44">
      <sharedItems containsString="0" containsBlank="1" containsNumber="1" minValue="2080.8633333329999" maxValue="1123022.9833333299"/>
    </cacheField>
    <cacheField name="PREVIOUS_YEAR_VARIANCE" numFmtId="44">
      <sharedItems containsString="0" containsBlank="1" containsNumber="1" minValue="-2.2000000000000002" maxValue="722292.73"/>
    </cacheField>
    <cacheField name="PREVIOUS_YEAR_3YEAR_AVG_VARIANCE" numFmtId="44">
      <sharedItems containsString="0" containsBlank="1" containsNumber="1" minValue="-848596.92666666699" maxValue="56973.93"/>
    </cacheField>
    <cacheField name="TARGET_VALUE" numFmtId="9">
      <sharedItems containsString="0" containsBlank="1" containsNumber="1" minValue="3.4000000000000002E-2" maxValue="0.5"/>
    </cacheField>
    <cacheField name="ACTUAL_VALUE" numFmtId="0">
      <sharedItems containsString="0" containsBlank="1" containsNumber="1" minValue="-1" maxValue="0.46879174600000001"/>
    </cacheField>
    <cacheField name="TARGET_AMOUNT" numFmtId="0">
      <sharedItems containsString="0" containsBlank="1" containsNumber="1" minValue="2162.017003333" maxValue="1161205.7647666701"/>
    </cacheField>
    <cacheField name="ACTUAL_AMOUNT" numFmtId="0">
      <sharedItems containsString="0" containsBlank="1" containsNumber="1" minValue="0" maxValue="1601955.53"/>
    </cacheField>
    <cacheField name="TARGET_METRIC_CNT" numFmtId="0">
      <sharedItems containsNonDate="0" containsString="0" containsBlank="1"/>
    </cacheField>
    <cacheField name="SCORECARD_METRIC_CNT" numFmtId="0">
      <sharedItems containsString="0" containsBlank="1" containsNumber="1" containsInteger="1" minValue="0" maxValue="1"/>
    </cacheField>
    <cacheField name="SCORECARD_TALLY_CNT" numFmtId="0">
      <sharedItems containsString="0" containsBlank="1" containsNumber="1" containsInteger="1" minValue="0" maxValue="1"/>
    </cacheField>
    <cacheField name="SCORECARD_METRIC_MET" numFmtId="0">
      <sharedItems containsBlank="1" count="3">
        <s v="Y"/>
        <s v="N"/>
        <m/>
      </sharedItems>
    </cacheField>
    <cacheField name="TOTAL_METRIC_MET_CNT" numFmtId="0">
      <sharedItems containsString="0" containsBlank="1" containsNumber="1" containsInteger="1" minValue="5" maxValue="6"/>
    </cacheField>
    <cacheField name="PERCENT_TO_TARGET" numFmtId="0">
      <sharedItems containsString="0" containsBlank="1" containsNumber="1" minValue="0" maxValue="1"/>
    </cacheField>
    <cacheField name="AMOUNT_REMAINING" numFmtId="0">
      <sharedItems containsString="0" containsBlank="1" containsNumber="1" minValue="0" maxValue="901092.40030333295"/>
    </cacheField>
    <cacheField name="QUALIFIED_LEVEL" numFmtId="0">
      <sharedItems containsBlank="1"/>
    </cacheField>
    <cacheField name="LAST_UPDATE" numFmtId="0">
      <sharedItems containsString="0" containsBlank="1" containsNumber="1" containsInteger="1" minValue="46186" maxValue="46186"/>
    </cacheField>
    <cacheField name="SCORECARD_DESCRIPTION" numFmtId="44">
      <sharedItems containsBlank="1" count="13">
        <s v="Total Points Earned"/>
        <s v="Sales Less Then Target = Bronze, Greater Then Target = Silver, Gold or Platinum"/>
        <s v="Sales Greater Than Target"/>
        <s v=" Exceeds Nominal Growth"/>
        <s v="Leads With Vollrath"/>
        <s v="Meet Smallwares and 1 out of 4 equipment"/>
        <s v="Meets Drop Ship Requirements"/>
        <s v="New Product Support"/>
        <s v="Allows Carrier Selection and Avoids Accessorial Charges"/>
        <s v="Approved Marketing Plan/Usage of co-op funds"/>
        <s v="Access to End Users"/>
        <m/>
        <s v="" u="1"/>
      </sharedItems>
    </cacheField>
    <cacheField name="DETAIL_FILTER" numFmtId="0">
      <sharedItems containsBlank="1" count="3">
        <b v="0"/>
        <b v="1"/>
        <m/>
      </sharedItems>
    </cacheField>
    <cacheField name="SUMMARY_FILTER" numFmtId="0">
      <sharedItems containsBlank="1" count="3">
        <b v="0"/>
        <b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overall"/>
    <x v="0"/>
    <x v="0"/>
    <s v="KE"/>
    <s v="BEN E KEITH"/>
    <s v="Non-SEFA"/>
    <s v="TT"/>
    <s v="summary"/>
    <x v="0"/>
    <x v="0"/>
    <x v="0"/>
    <s v="previous_year_overall"/>
    <m/>
    <m/>
    <m/>
    <m/>
    <m/>
    <m/>
    <m/>
    <m/>
    <m/>
    <n v="1601955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1"/>
    <x v="0"/>
    <x v="0"/>
    <s v="current_year_overall"/>
    <m/>
    <m/>
    <m/>
    <m/>
    <m/>
    <m/>
    <m/>
    <m/>
    <m/>
    <n v="777759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2"/>
    <x v="0"/>
    <x v="0"/>
    <s v="previous_quarter_overall"/>
    <m/>
    <m/>
    <m/>
    <m/>
    <m/>
    <m/>
    <m/>
    <m/>
    <m/>
    <n v="368404.65"/>
    <m/>
    <m/>
    <m/>
    <x v="0"/>
    <n v="5"/>
    <m/>
    <m/>
    <s v="Silver"/>
    <n v="46186"/>
    <x v="0"/>
    <x v="0"/>
    <x v="0"/>
  </r>
  <r>
    <s v="total"/>
    <x v="1"/>
    <x v="1"/>
    <s v="KE"/>
    <s v="BEN E KEITH"/>
    <s v="Non-SEFA"/>
    <s v="TT"/>
    <s v="summary"/>
    <x v="2"/>
    <x v="1"/>
    <x v="0"/>
    <s v="previous_qtr_silver_qualifier"/>
    <m/>
    <m/>
    <m/>
    <m/>
    <m/>
    <m/>
    <m/>
    <m/>
    <n v="100000"/>
    <n v="368404.65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1"/>
    <x v="1"/>
    <x v="0"/>
    <s v="current_year_silver_qualifier"/>
    <m/>
    <m/>
    <m/>
    <m/>
    <m/>
    <m/>
    <m/>
    <m/>
    <n v="100000"/>
    <n v="777759.53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0"/>
    <x v="1"/>
    <x v="0"/>
    <s v="previous_year_silver_qualifier"/>
    <m/>
    <m/>
    <m/>
    <m/>
    <m/>
    <m/>
    <m/>
    <m/>
    <n v="100000"/>
    <n v="1601955.53"/>
    <m/>
    <m/>
    <m/>
    <x v="0"/>
    <m/>
    <n v="1"/>
    <n v="0"/>
    <m/>
    <n v="46186"/>
    <x v="1"/>
    <x v="1"/>
    <x v="0"/>
  </r>
  <r>
    <s v="total"/>
    <x v="2"/>
    <x v="1"/>
    <s v="KE"/>
    <s v="BEN E KEITH"/>
    <s v="Non-SEFA"/>
    <s v="TT"/>
    <s v="summary"/>
    <x v="0"/>
    <x v="2"/>
    <x v="0"/>
    <s v="previous_year_net_sales"/>
    <m/>
    <m/>
    <m/>
    <m/>
    <m/>
    <m/>
    <m/>
    <m/>
    <n v="750000"/>
    <n v="1601955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1"/>
    <x v="2"/>
    <x v="0"/>
    <s v="current_year_net_sales"/>
    <m/>
    <m/>
    <m/>
    <m/>
    <m/>
    <m/>
    <m/>
    <m/>
    <n v="750000"/>
    <n v="777759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2"/>
    <x v="2"/>
    <x v="0"/>
    <s v="previous_qtr_net_sales"/>
    <m/>
    <m/>
    <m/>
    <m/>
    <m/>
    <m/>
    <m/>
    <m/>
    <n v="750000"/>
    <n v="368404.65"/>
    <m/>
    <m/>
    <n v="0"/>
    <x v="1"/>
    <m/>
    <n v="0.49120619999999998"/>
    <n v="381595.35"/>
    <m/>
    <n v="46186"/>
    <x v="2"/>
    <x v="1"/>
    <x v="1"/>
  </r>
  <r>
    <s v="growth"/>
    <x v="3"/>
    <x v="2"/>
    <s v="KE"/>
    <s v="BEN E KEITH"/>
    <s v="Non-SEFA"/>
    <s v="TT"/>
    <s v="detail"/>
    <x v="2"/>
    <x v="3"/>
    <x v="1"/>
    <s v="previous_qtr_growth"/>
    <n v="6840.68"/>
    <n v="4963.83"/>
    <n v="1063.7"/>
    <n v="4289.4033333329999"/>
    <n v="484.82"/>
    <n v="-3710.5233333330002"/>
    <n v="4.9000000000000002E-2"/>
    <n v="-0.86504416699999997"/>
    <n v="4499.5840966670003"/>
    <n v="578.88"/>
    <m/>
    <n v="0"/>
    <m/>
    <x v="1"/>
    <m/>
    <n v="0.1286518904"/>
    <n v="3920.7040966670002"/>
    <m/>
    <n v="46186"/>
    <x v="3"/>
    <x v="1"/>
    <x v="0"/>
  </r>
  <r>
    <s v="growth"/>
    <x v="3"/>
    <x v="2"/>
    <s v="KE"/>
    <s v="BEN E KEITH"/>
    <s v="Non-SEFA"/>
    <s v="TT"/>
    <s v="detail"/>
    <x v="2"/>
    <x v="3"/>
    <x v="2"/>
    <s v="previous_qtr_growth"/>
    <n v="103178.96"/>
    <n v="91287.35"/>
    <n v="80506.63"/>
    <n v="91657.646666667002"/>
    <n v="57445"/>
    <n v="-68596.016666666997"/>
    <n v="4.9000000000000002E-2"/>
    <n v="-0.74839382379999997"/>
    <n v="96148.871353333001"/>
    <n v="23061.63"/>
    <m/>
    <n v="0"/>
    <m/>
    <x v="1"/>
    <m/>
    <n v="0.2398533615"/>
    <n v="73087.241353332996"/>
    <m/>
    <n v="46186"/>
    <x v="3"/>
    <x v="1"/>
    <x v="0"/>
  </r>
  <r>
    <s v="growth"/>
    <x v="3"/>
    <x v="2"/>
    <s v="KE"/>
    <s v="BEN E KEITH"/>
    <s v="Non-SEFA"/>
    <s v="TT"/>
    <s v="detail"/>
    <x v="0"/>
    <x v="3"/>
    <x v="2"/>
    <s v="previous_year_growth"/>
    <n v="91688.04"/>
    <n v="103178.96"/>
    <n v="91287.35"/>
    <n v="95384.783333333005"/>
    <n v="10780.72"/>
    <n v="-14878.153333333001"/>
    <n v="3.4000000000000002E-2"/>
    <n v="-0.15598036509999999"/>
    <n v="98627.865966666999"/>
    <n v="80506.63"/>
    <m/>
    <n v="0"/>
    <m/>
    <x v="1"/>
    <m/>
    <n v="0.81626657140000003"/>
    <n v="18121.235966667002"/>
    <m/>
    <n v="46186"/>
    <x v="3"/>
    <x v="1"/>
    <x v="0"/>
  </r>
  <r>
    <s v="growth"/>
    <x v="3"/>
    <x v="2"/>
    <s v="KE"/>
    <s v="BEN E KEITH"/>
    <s v="Non-SEFA"/>
    <s v="TT"/>
    <s v="detail"/>
    <x v="0"/>
    <x v="3"/>
    <x v="3"/>
    <s v="previous_year_growth"/>
    <n v="315134.12"/>
    <n v="394900.82"/>
    <n v="342726.06"/>
    <n v="350920.33333333302"/>
    <n v="71764.850000000006"/>
    <n v="-79959.123333333002"/>
    <n v="3.4000000000000002E-2"/>
    <n v="-0.2278554867"/>
    <n v="362851.62466666702"/>
    <n v="270961.21000000002"/>
    <m/>
    <n v="0"/>
    <m/>
    <x v="1"/>
    <m/>
    <n v="0.74675484849999996"/>
    <n v="91890.414666666999"/>
    <m/>
    <n v="46186"/>
    <x v="3"/>
    <x v="1"/>
    <x v="0"/>
  </r>
  <r>
    <s v="growth"/>
    <x v="3"/>
    <x v="2"/>
    <s v="KE"/>
    <s v="BEN E KEITH"/>
    <s v="Non-SEFA"/>
    <s v="TT"/>
    <s v="detail"/>
    <x v="1"/>
    <x v="3"/>
    <x v="3"/>
    <s v="current_year_growth"/>
    <n v="394900.82"/>
    <n v="342726.06"/>
    <n v="270961.21000000002"/>
    <n v="336196.03"/>
    <n v="152763.16"/>
    <n v="-217997.98"/>
    <n v="4.9000000000000002E-2"/>
    <n v="-0.64842520599999998"/>
    <n v="352669.63546999998"/>
    <n v="118198.05"/>
    <m/>
    <n v="0"/>
    <m/>
    <x v="1"/>
    <m/>
    <n v="0.33515232989999999"/>
    <n v="234471.58546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4"/>
    <s v="previous_qtr_growth"/>
    <n v="331147.23"/>
    <n v="316465.14"/>
    <n v="314548.44"/>
    <n v="320720.27"/>
    <n v="235250.83"/>
    <n v="-241422.66"/>
    <n v="4.9000000000000002E-2"/>
    <n v="-0.75275148650000001"/>
    <n v="336435.56323000003"/>
    <n v="79297.61"/>
    <m/>
    <n v="0"/>
    <m/>
    <x v="1"/>
    <m/>
    <n v="0.23569925019999999"/>
    <n v="257137.95323000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4"/>
    <s v="current_year_growth"/>
    <n v="331147.23"/>
    <n v="316465.14"/>
    <n v="314548.44"/>
    <n v="320720.27"/>
    <n v="150877.74"/>
    <n v="-157049.57"/>
    <n v="4.9000000000000002E-2"/>
    <n v="-0.4896777182"/>
    <n v="336435.56323000003"/>
    <n v="163670.70000000001"/>
    <m/>
    <n v="0"/>
    <m/>
    <x v="1"/>
    <m/>
    <n v="0.48648453940000003"/>
    <n v="172764.86322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3"/>
    <s v="previous_qtr_growth"/>
    <n v="394900.82"/>
    <n v="342726.06"/>
    <n v="270961.21000000002"/>
    <n v="336196.03"/>
    <n v="214938.45"/>
    <n v="-280173.27"/>
    <n v="4.9000000000000002E-2"/>
    <n v="-0.83336281509999999"/>
    <n v="352669.63546999998"/>
    <n v="56022.76"/>
    <m/>
    <n v="0"/>
    <m/>
    <x v="1"/>
    <m/>
    <n v="0.1588533697"/>
    <n v="296646.87547000003"/>
    <m/>
    <n v="46186"/>
    <x v="3"/>
    <x v="1"/>
    <x v="0"/>
  </r>
  <r>
    <s v="growth"/>
    <x v="3"/>
    <x v="2"/>
    <s v="KE"/>
    <s v="BEN E KEITH"/>
    <s v="Non-SEFA"/>
    <s v="TT"/>
    <s v="detail"/>
    <x v="2"/>
    <x v="3"/>
    <x v="5"/>
    <s v="previous_qtr_growth"/>
    <n v="213862.18"/>
    <n v="211099.69"/>
    <n v="165473.88"/>
    <n v="196811.91666666701"/>
    <n v="131038.8"/>
    <n v="-162376.83666666699"/>
    <n v="4.9000000000000002E-2"/>
    <n v="-0.82503559449999997"/>
    <n v="206455.700583333"/>
    <n v="34435.08"/>
    <m/>
    <n v="0"/>
    <m/>
    <x v="1"/>
    <m/>
    <n v="0.1667916163"/>
    <n v="172020.62058333299"/>
    <m/>
    <n v="46186"/>
    <x v="3"/>
    <x v="1"/>
    <x v="0"/>
  </r>
  <r>
    <s v="growth"/>
    <x v="3"/>
    <x v="2"/>
    <s v="KE"/>
    <s v="BEN E KEITH"/>
    <s v="Non-SEFA"/>
    <s v="TT"/>
    <s v="detail"/>
    <x v="0"/>
    <x v="3"/>
    <x v="1"/>
    <s v="previous_year_growth"/>
    <n v="2060.54"/>
    <n v="6840.68"/>
    <n v="4963.83"/>
    <n v="4621.6833333329996"/>
    <n v="3900.13"/>
    <n v="-3557.9833333329998"/>
    <n v="3.4000000000000002E-2"/>
    <n v="-0.76984576329999999"/>
    <n v="4778.8205666670001"/>
    <n v="1063.7"/>
    <m/>
    <n v="0"/>
    <m/>
    <x v="1"/>
    <m/>
    <n v="0.22258630239999999"/>
    <n v="3715.1205666669998"/>
    <m/>
    <n v="46186"/>
    <x v="3"/>
    <x v="1"/>
    <x v="0"/>
  </r>
  <r>
    <s v="growth"/>
    <x v="3"/>
    <x v="2"/>
    <s v="KE"/>
    <s v="BEN E KEITH"/>
    <s v="Non-SEFA"/>
    <s v="TT"/>
    <s v="detail"/>
    <x v="0"/>
    <x v="3"/>
    <x v="6"/>
    <s v="previous_year_growth"/>
    <n v="203754.78"/>
    <n v="132132.54999999999"/>
    <n v="120372.1"/>
    <n v="152086.476666667"/>
    <n v="7893.96"/>
    <n v="-39608.336666666997"/>
    <n v="3.4000000000000002E-2"/>
    <n v="-0.26043299530000003"/>
    <n v="157257.41687333299"/>
    <n v="112478.14"/>
    <m/>
    <n v="0"/>
    <m/>
    <x v="1"/>
    <m/>
    <n v="0.71524855379999996"/>
    <n v="44779.276873333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5"/>
    <s v="current_year_growth"/>
    <n v="213862.18"/>
    <n v="211099.69"/>
    <n v="165473.88"/>
    <n v="196811.91666666701"/>
    <n v="85586.46"/>
    <n v="-116924.49666666699"/>
    <n v="4.9000000000000002E-2"/>
    <n v="-0.59409256639999997"/>
    <n v="206455.700583333"/>
    <n v="79887.42"/>
    <m/>
    <n v="0"/>
    <m/>
    <x v="1"/>
    <m/>
    <n v="0.38694702920000001"/>
    <n v="126568.280583333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6"/>
    <s v="current_year_growth"/>
    <n v="132132.54999999999"/>
    <n v="120372.1"/>
    <n v="112478.14"/>
    <n v="121660.93"/>
    <n v="59086.52"/>
    <n v="-68269.31"/>
    <n v="4.9000000000000002E-2"/>
    <n v="-0.56114407479999995"/>
    <n v="127622.31557000001"/>
    <n v="53391.62"/>
    <m/>
    <n v="0"/>
    <m/>
    <x v="1"/>
    <m/>
    <n v="0.4183564588"/>
    <n v="74230.695569999996"/>
    <m/>
    <n v="46186"/>
    <x v="3"/>
    <x v="1"/>
    <x v="0"/>
  </r>
  <r>
    <s v="growth"/>
    <x v="3"/>
    <x v="2"/>
    <s v="KE"/>
    <s v="BEN E KEITH"/>
    <s v="Non-SEFA"/>
    <s v="TT"/>
    <s v="detail"/>
    <x v="2"/>
    <x v="3"/>
    <x v="6"/>
    <s v="previous_qtr_growth"/>
    <n v="132132.54999999999"/>
    <n v="120372.1"/>
    <n v="112478.14"/>
    <n v="121660.93"/>
    <n v="83134.83"/>
    <n v="-92317.62"/>
    <n v="4.9000000000000002E-2"/>
    <n v="-0.75881073740000005"/>
    <n v="127622.31557000001"/>
    <n v="29343.31"/>
    <m/>
    <n v="0"/>
    <m/>
    <x v="1"/>
    <m/>
    <n v="0.229923034"/>
    <n v="98279.005569999994"/>
    <m/>
    <n v="46186"/>
    <x v="3"/>
    <x v="1"/>
    <x v="0"/>
  </r>
  <r>
    <s v="growth"/>
    <x v="3"/>
    <x v="2"/>
    <s v="KE"/>
    <s v="BEN E KEITH"/>
    <s v="Non-SEFA"/>
    <s v="TT"/>
    <s v="detail"/>
    <x v="0"/>
    <x v="3"/>
    <x v="4"/>
    <s v="previous_year_growth"/>
    <n v="304391.69"/>
    <n v="331147.23"/>
    <n v="316465.14"/>
    <n v="317334.686666667"/>
    <n v="1916.7"/>
    <n v="-2786.2466666670002"/>
    <n v="3.4000000000000002E-2"/>
    <n v="-8.7801516310000004E-3"/>
    <n v="328124.06601333298"/>
    <n v="314548.44"/>
    <m/>
    <n v="0"/>
    <m/>
    <x v="1"/>
    <m/>
    <n v="0.95862654579999995"/>
    <n v="13575.626013333"/>
    <m/>
    <n v="46186"/>
    <x v="3"/>
    <x v="1"/>
    <x v="0"/>
  </r>
  <r>
    <s v="growth"/>
    <x v="3"/>
    <x v="2"/>
    <s v="KE"/>
    <s v="BEN E KEITH"/>
    <s v="Non-SEFA"/>
    <s v="TT"/>
    <s v="detail"/>
    <x v="1"/>
    <x v="3"/>
    <x v="2"/>
    <s v="current_year_growth"/>
    <n v="103178.96"/>
    <n v="91287.35"/>
    <n v="80506.63"/>
    <n v="91657.646666667002"/>
    <n v="33803.86"/>
    <n v="-44954.876666666998"/>
    <n v="4.9000000000000002E-2"/>
    <n v="-0.4904650981"/>
    <n v="96148.871353333001"/>
    <n v="46702.77"/>
    <m/>
    <n v="0"/>
    <m/>
    <x v="1"/>
    <m/>
    <n v="0.4857339389"/>
    <n v="49446.101353332997"/>
    <m/>
    <n v="46186"/>
    <x v="3"/>
    <x v="1"/>
    <x v="0"/>
  </r>
  <r>
    <s v="growth"/>
    <x v="3"/>
    <x v="2"/>
    <s v="KE"/>
    <s v="BEN E KEITH"/>
    <s v="Non-SEFA"/>
    <s v="TT"/>
    <s v="detail"/>
    <x v="1"/>
    <x v="3"/>
    <x v="1"/>
    <s v="current_year_growth"/>
    <n v="6840.68"/>
    <n v="4963.83"/>
    <n v="1063.7"/>
    <n v="4289.4033333329999"/>
    <n v="291.86"/>
    <n v="-3517.5633333330002"/>
    <n v="4.9000000000000002E-2"/>
    <n v="-0.82005888930000004"/>
    <n v="4499.5840966670003"/>
    <n v="771.84"/>
    <m/>
    <n v="0"/>
    <m/>
    <x v="1"/>
    <m/>
    <n v="0.17153585390000001"/>
    <n v="3727.7440966670001"/>
    <m/>
    <n v="46186"/>
    <x v="3"/>
    <x v="1"/>
    <x v="0"/>
  </r>
  <r>
    <s v="growth"/>
    <x v="3"/>
    <x v="2"/>
    <s v="KE"/>
    <s v="BEN E KEITH"/>
    <s v="Non-SEFA"/>
    <s v="TT"/>
    <s v="detail"/>
    <x v="0"/>
    <x v="3"/>
    <x v="5"/>
    <s v="previous_year_growth"/>
    <n v="183063.19"/>
    <n v="213862.18"/>
    <n v="211099.69"/>
    <n v="202675.02"/>
    <n v="45625.81"/>
    <n v="-37201.14"/>
    <n v="3.4000000000000002E-2"/>
    <n v="-0.1835506912"/>
    <n v="209565.97068"/>
    <n v="165473.88"/>
    <m/>
    <n v="0"/>
    <m/>
    <x v="1"/>
    <m/>
    <n v="0.78960281320000003"/>
    <n v="44092.090680000001"/>
    <m/>
    <n v="46186"/>
    <x v="3"/>
    <x v="1"/>
    <x v="0"/>
  </r>
  <r>
    <s v="growth"/>
    <x v="4"/>
    <x v="2"/>
    <s v="KE"/>
    <s v="BEN E KEITH"/>
    <s v="Non-SEFA"/>
    <s v="TT"/>
    <s v="summary"/>
    <x v="1"/>
    <x v="3"/>
    <x v="7"/>
    <s v="current_year_growth"/>
    <n v="1182062.42"/>
    <n v="1086914.17"/>
    <n v="945032"/>
    <n v="1071336.19666667"/>
    <n v="482409.6"/>
    <n v="-608713.79666666698"/>
    <n v="4.9000000000000002E-2"/>
    <n v="-0.5681818635"/>
    <n v="1123831.6703033301"/>
    <n v="462622.4"/>
    <m/>
    <m/>
    <n v="0"/>
    <x v="1"/>
    <m/>
    <n v="0.41164741319999998"/>
    <n v="661209.27030333295"/>
    <m/>
    <n v="46186"/>
    <x v="3"/>
    <x v="1"/>
    <x v="1"/>
  </r>
  <r>
    <s v="growth"/>
    <x v="4"/>
    <x v="2"/>
    <s v="KE"/>
    <s v="BEN E KEITH"/>
    <s v="Non-SEFA"/>
    <s v="TT"/>
    <s v="summary"/>
    <x v="2"/>
    <x v="3"/>
    <x v="7"/>
    <s v="previous_qtr_growth"/>
    <n v="1182062.42"/>
    <n v="1086914.17"/>
    <n v="945032"/>
    <n v="1071336.19666667"/>
    <n v="722292.73"/>
    <n v="-848596.92666666699"/>
    <n v="4.9000000000000002E-2"/>
    <n v="-0.79209208959999999"/>
    <n v="1123831.6703033301"/>
    <n v="222739.27"/>
    <m/>
    <m/>
    <n v="0"/>
    <x v="1"/>
    <m/>
    <n v="0.1981962921"/>
    <n v="901092.40030333295"/>
    <m/>
    <n v="46186"/>
    <x v="3"/>
    <x v="1"/>
    <x v="1"/>
  </r>
  <r>
    <s v="growth"/>
    <x v="4"/>
    <x v="2"/>
    <s v="KE"/>
    <s v="BEN E KEITH"/>
    <s v="Non-SEFA"/>
    <s v="TT"/>
    <s v="summary"/>
    <x v="0"/>
    <x v="3"/>
    <x v="7"/>
    <s v="previous_year_growth"/>
    <n v="1100092.3600000001"/>
    <n v="1182062.42"/>
    <n v="1086914.17"/>
    <n v="1123022.9833333299"/>
    <n v="141882.17000000001"/>
    <n v="-177990.98333333299"/>
    <n v="3.4000000000000002E-2"/>
    <n v="-0.15849273429999999"/>
    <n v="1161205.7647666701"/>
    <n v="945032"/>
    <m/>
    <m/>
    <n v="0"/>
    <x v="1"/>
    <m/>
    <n v="0.81383681399999996"/>
    <n v="216173.76476666701"/>
    <m/>
    <n v="46186"/>
    <x v="3"/>
    <x v="1"/>
    <x v="1"/>
  </r>
  <r>
    <s v="growth"/>
    <x v="5"/>
    <x v="2"/>
    <s v="KE"/>
    <s v="BEN E KEITH"/>
    <s v="Non-SEFA"/>
    <s v="TT"/>
    <s v="detail"/>
    <x v="2"/>
    <x v="4"/>
    <x v="8"/>
    <s v="previous_qt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9"/>
    <s v="previous_qt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9"/>
    <s v="previous_year_growth"/>
    <n v="14217.76"/>
    <n v="20386.490000000002"/>
    <n v="5792.03"/>
    <n v="13465.426666666999"/>
    <n v="5585.82"/>
    <n v="-13259.216666667"/>
    <n v="4.3999999999999997E-2"/>
    <n v="-0.98468596610000003"/>
    <n v="14057.90544"/>
    <n v="206.21"/>
    <m/>
    <n v="0"/>
    <m/>
    <x v="1"/>
    <m/>
    <n v="1.4668614809999999E-2"/>
    <n v="13851.69544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0"/>
    <s v="current_year_growth"/>
    <n v="494631.04"/>
    <n v="602600.48"/>
    <n v="584239.43999999994"/>
    <n v="560490.31999999995"/>
    <n v="296890.33"/>
    <n v="-273141.21000000002"/>
    <n v="4.5999999999999999E-2"/>
    <n v="-0.48732547250000002"/>
    <n v="586272.87471999996"/>
    <n v="287349.11"/>
    <m/>
    <n v="0"/>
    <m/>
    <x v="1"/>
    <m/>
    <n v="0.49012861140000002"/>
    <n v="298923.7647199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0"/>
    <s v="previous_qtr_growth"/>
    <n v="494631.04"/>
    <n v="602600.48"/>
    <n v="584239.43999999994"/>
    <n v="560490.31999999995"/>
    <n v="455721.56"/>
    <n v="-431972.44"/>
    <n v="4.5999999999999999E-2"/>
    <n v="-0.77070455029999996"/>
    <n v="586272.87471999996"/>
    <n v="128517.88"/>
    <m/>
    <n v="0"/>
    <m/>
    <x v="1"/>
    <m/>
    <n v="0.219211711"/>
    <n v="457754.99472000002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1"/>
    <s v="previous_qtr_growth"/>
    <n v="27785.29"/>
    <n v="36473.03"/>
    <n v="20609.11"/>
    <n v="28289.143333332999"/>
    <n v="12609.88"/>
    <n v="-20289.913333332999"/>
    <n v="4.5999999999999999E-2"/>
    <n v="-0.71723321890000002"/>
    <n v="29590.443926667002"/>
    <n v="7999.23"/>
    <m/>
    <n v="0"/>
    <m/>
    <x v="1"/>
    <m/>
    <n v="0.27033153069999999"/>
    <n v="21591.213926666998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0"/>
    <s v="previous_year_growth"/>
    <n v="484565.01"/>
    <n v="494631.04"/>
    <n v="602600.48"/>
    <n v="527265.51"/>
    <n v="18361.04"/>
    <n v="56973.93"/>
    <n v="4.3999999999999997E-2"/>
    <n v="0.1080554842"/>
    <n v="550465.19244000001"/>
    <n v="584239.43999999994"/>
    <m/>
    <n v="1"/>
    <m/>
    <x v="0"/>
    <m/>
    <n v="1"/>
    <n v="0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2"/>
    <s v="previous_year_growth"/>
    <n v="54033.11"/>
    <n v="27861.06"/>
    <n v="30545.25"/>
    <n v="37479.806666666998"/>
    <n v="6992.88"/>
    <n v="-13927.436666666999"/>
    <n v="4.3999999999999997E-2"/>
    <n v="-0.37159841269999999"/>
    <n v="39128.918160000001"/>
    <n v="23552.37"/>
    <m/>
    <n v="0"/>
    <m/>
    <x v="1"/>
    <m/>
    <n v="0.60191722920000001"/>
    <n v="15576.5481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2"/>
    <s v="current_year_growth"/>
    <n v="27861.06"/>
    <n v="30545.25"/>
    <n v="23552.37"/>
    <n v="27319.56"/>
    <n v="12876.5"/>
    <n v="-16643.689999999999"/>
    <n v="4.5999999999999999E-2"/>
    <n v="-0.60922247650000005"/>
    <n v="28576.259760000001"/>
    <n v="10675.87"/>
    <m/>
    <n v="0"/>
    <m/>
    <x v="1"/>
    <m/>
    <n v="0.3735922787"/>
    <n v="17900.38975999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8"/>
    <s v="current_yea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9"/>
    <s v="current_yea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8"/>
    <s v="previous_year_growth"/>
    <n v="9.1"/>
    <n v="413.28"/>
    <n v="7290"/>
    <n v="2570.7933333330002"/>
    <n v="5243.8"/>
    <n v="-524.59333333300003"/>
    <n v="4.3999999999999997E-2"/>
    <n v="-0.20405892859999999"/>
    <n v="2683.9082400000002"/>
    <n v="2046.2"/>
    <m/>
    <n v="0"/>
    <m/>
    <x v="1"/>
    <m/>
    <n v="0.76239566219999999"/>
    <n v="637.70824000000005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2"/>
    <s v="previous_qtr_growth"/>
    <n v="27861.06"/>
    <n v="30545.25"/>
    <n v="23552.37"/>
    <n v="27319.56"/>
    <n v="17745.849999999999"/>
    <n v="-21513.040000000001"/>
    <n v="4.5999999999999999E-2"/>
    <n v="-0.78745924170000003"/>
    <n v="28576.259760000001"/>
    <n v="5806.52"/>
    <m/>
    <n v="0"/>
    <m/>
    <x v="1"/>
    <m/>
    <n v="0.20319384160000001"/>
    <n v="22769.73976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1"/>
    <s v="previous_year_growth"/>
    <n v="22030.48"/>
    <n v="27785.29"/>
    <n v="36473.03"/>
    <n v="28762.933333333"/>
    <n v="15863.92"/>
    <n v="-8153.8233333329999"/>
    <n v="4.3999999999999997E-2"/>
    <n v="-0.28348371979999998"/>
    <n v="30028.502400000001"/>
    <n v="20609.11"/>
    <m/>
    <n v="0"/>
    <m/>
    <x v="1"/>
    <m/>
    <n v="0.68631827609999996"/>
    <n v="9419.392400000000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1"/>
    <s v="current_year_growth"/>
    <n v="27785.29"/>
    <n v="36473.03"/>
    <n v="20609.11"/>
    <n v="28289.143333332999"/>
    <n v="6838.71"/>
    <n v="-14518.743333332999"/>
    <n v="4.5999999999999999E-2"/>
    <n v="-0.51322668780000003"/>
    <n v="29590.443926667002"/>
    <n v="13770.4"/>
    <m/>
    <n v="0"/>
    <m/>
    <x v="1"/>
    <m/>
    <n v="0.46536645529999998"/>
    <n v="15820.043926667"/>
    <m/>
    <n v="46186"/>
    <x v="3"/>
    <x v="1"/>
    <x v="0"/>
  </r>
  <r>
    <s v="growth"/>
    <x v="6"/>
    <x v="2"/>
    <s v="KE"/>
    <s v="BEN E KEITH"/>
    <s v="Non-SEFA"/>
    <s v="TT"/>
    <s v="summary"/>
    <x v="1"/>
    <x v="4"/>
    <x v="13"/>
    <s v="current_year_growth"/>
    <n v="571077.16"/>
    <n v="682700.79"/>
    <n v="630653.32999999996"/>
    <n v="628143.76"/>
    <n v="318857.95"/>
    <n v="-316348.38"/>
    <n v="4.5999999999999999E-2"/>
    <n v="-0.50362417039999996"/>
    <n v="657038.37295999995"/>
    <n v="311795.38"/>
    <m/>
    <m/>
    <n v="0"/>
    <x v="1"/>
    <m/>
    <n v="0.47454668230000002"/>
    <n v="345242.99296"/>
    <m/>
    <n v="46186"/>
    <x v="3"/>
    <x v="1"/>
    <x v="1"/>
  </r>
  <r>
    <s v="growth"/>
    <x v="6"/>
    <x v="2"/>
    <s v="KE"/>
    <s v="BEN E KEITH"/>
    <s v="Non-SEFA"/>
    <s v="TT"/>
    <s v="summary"/>
    <x v="0"/>
    <x v="4"/>
    <x v="13"/>
    <s v="previous_year_growth"/>
    <n v="574855.46"/>
    <n v="571077.16"/>
    <n v="682700.79"/>
    <n v="609544.47"/>
    <n v="52047.46"/>
    <n v="21108.86"/>
    <n v="4.3999999999999997E-2"/>
    <n v="3.4630549599999998E-2"/>
    <n v="636364.42668000003"/>
    <n v="630653.32999999996"/>
    <m/>
    <m/>
    <n v="0"/>
    <x v="1"/>
    <m/>
    <n v="0.99102543060000003"/>
    <n v="5711.0966799999997"/>
    <m/>
    <n v="46186"/>
    <x v="3"/>
    <x v="1"/>
    <x v="1"/>
  </r>
  <r>
    <s v="growth"/>
    <x v="6"/>
    <x v="2"/>
    <s v="KE"/>
    <s v="BEN E KEITH"/>
    <s v="Non-SEFA"/>
    <s v="TT"/>
    <s v="summary"/>
    <x v="2"/>
    <x v="4"/>
    <x v="13"/>
    <s v="previous_qtr_growth"/>
    <n v="571077.16"/>
    <n v="682700.79"/>
    <n v="630653.32999999996"/>
    <n v="628143.76"/>
    <n v="488329.7"/>
    <n v="-485820.13"/>
    <n v="4.5999999999999999E-2"/>
    <n v="-0.77342188359999997"/>
    <n v="657038.37295999995"/>
    <n v="142323.63"/>
    <m/>
    <m/>
    <n v="0"/>
    <x v="1"/>
    <m/>
    <n v="0.21661387809999999"/>
    <n v="514714.74296"/>
    <m/>
    <n v="46186"/>
    <x v="3"/>
    <x v="1"/>
    <x v="1"/>
  </r>
  <r>
    <s v="growth"/>
    <x v="7"/>
    <x v="2"/>
    <s v="KE"/>
    <s v="BEN E KEITH"/>
    <s v="Non-SEFA"/>
    <s v="TT"/>
    <s v="detail"/>
    <x v="1"/>
    <x v="5"/>
    <x v="14"/>
    <s v="current_yea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5"/>
    <s v="previous_year_growth"/>
    <n v="37852.82"/>
    <n v="73568.240000000005"/>
    <n v="35573.230000000003"/>
    <n v="48998.096666666999"/>
    <n v="10347.39"/>
    <n v="-23772.256666666999"/>
    <n v="3.9E-2"/>
    <n v="-0.4851669408"/>
    <n v="50909.022436667001"/>
    <n v="25225.84"/>
    <m/>
    <n v="0"/>
    <m/>
    <x v="1"/>
    <m/>
    <n v="0.49550823789999998"/>
    <n v="25683.182436667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4"/>
    <s v="previous_qt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1"/>
    <x v="5"/>
    <x v="15"/>
    <s v="current_yea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5"/>
    <s v="previous_qt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4"/>
    <s v="previous_year_growth"/>
    <n v="0"/>
    <n v="5200.43"/>
    <n v="1042.1600000000001"/>
    <n v="2080.8633333329999"/>
    <n v="-2.2000000000000002"/>
    <n v="-1036.503333333"/>
    <n v="3.9E-2"/>
    <n v="-0.49811216180000001"/>
    <n v="2162.017003333"/>
    <n v="1044.3599999999999"/>
    <m/>
    <n v="0"/>
    <m/>
    <x v="1"/>
    <m/>
    <n v="0.48304892999999999"/>
    <n v="1117.6570033329999"/>
    <m/>
    <n v="46186"/>
    <x v="3"/>
    <x v="1"/>
    <x v="0"/>
  </r>
  <r>
    <s v="growth"/>
    <x v="8"/>
    <x v="2"/>
    <s v="KE"/>
    <s v="BEN E KEITH"/>
    <s v="Non-SEFA"/>
    <s v="TT"/>
    <s v="summary"/>
    <x v="0"/>
    <x v="5"/>
    <x v="16"/>
    <s v="previous_year_growth"/>
    <n v="37852.82"/>
    <n v="78768.67"/>
    <n v="36615.39"/>
    <n v="51078.96"/>
    <n v="10345.19"/>
    <n v="-24808.76"/>
    <n v="3.9E-2"/>
    <n v="-0.48569430540000003"/>
    <n v="53071.03944"/>
    <n v="26270.2"/>
    <m/>
    <m/>
    <n v="0"/>
    <x v="1"/>
    <m/>
    <n v="0.49500066850000002"/>
    <n v="26800.83944"/>
    <m/>
    <n v="46186"/>
    <x v="3"/>
    <x v="1"/>
    <x v="1"/>
  </r>
  <r>
    <s v="growth"/>
    <x v="8"/>
    <x v="2"/>
    <s v="KE"/>
    <s v="BEN E KEITH"/>
    <s v="Non-SEFA"/>
    <s v="TT"/>
    <s v="summary"/>
    <x v="2"/>
    <x v="5"/>
    <x v="16"/>
    <s v="previous_qt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growth"/>
    <x v="8"/>
    <x v="2"/>
    <s v="KE"/>
    <s v="BEN E KEITH"/>
    <s v="Non-SEFA"/>
    <s v="TT"/>
    <s v="summary"/>
    <x v="1"/>
    <x v="5"/>
    <x v="16"/>
    <s v="current_yea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leads"/>
    <x v="9"/>
    <x v="3"/>
    <s v="KE"/>
    <s v="BEN E KEITH"/>
    <s v="Non-SEFA"/>
    <s v="TT"/>
    <s v="detail"/>
    <x v="0"/>
    <x v="3"/>
    <x v="3"/>
    <s v="previous_year_leads"/>
    <m/>
    <m/>
    <m/>
    <m/>
    <m/>
    <m/>
    <n v="0.45"/>
    <n v="0.16914402740000001"/>
    <m/>
    <n v="270961.2100000000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4"/>
    <s v="current_year_leads"/>
    <m/>
    <m/>
    <m/>
    <m/>
    <m/>
    <m/>
    <n v="0.45"/>
    <n v="0.21043869430000001"/>
    <m/>
    <n v="163670.7000000000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5"/>
    <s v="previous_year_leads"/>
    <m/>
    <m/>
    <m/>
    <m/>
    <m/>
    <m/>
    <n v="0.45"/>
    <n v="0.10329492730000001"/>
    <m/>
    <n v="165473.8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4"/>
    <s v="previous_year_leads"/>
    <m/>
    <m/>
    <m/>
    <m/>
    <m/>
    <m/>
    <n v="0.45"/>
    <n v="0.1963527914"/>
    <m/>
    <n v="314548.44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5"/>
    <s v="previous_qtr_leads"/>
    <m/>
    <m/>
    <m/>
    <m/>
    <m/>
    <m/>
    <n v="0.45"/>
    <n v="9.3470807170000003E-2"/>
    <m/>
    <n v="34435.0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3"/>
    <s v="current_year_leads"/>
    <m/>
    <m/>
    <m/>
    <m/>
    <m/>
    <m/>
    <n v="0.45"/>
    <n v="0.15197248690000001"/>
    <m/>
    <n v="118198.05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4"/>
    <s v="previous_qtr_leads"/>
    <m/>
    <m/>
    <m/>
    <m/>
    <m/>
    <m/>
    <n v="0.45"/>
    <n v="0.2152459531"/>
    <m/>
    <n v="79297.6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5"/>
    <s v="current_year_leads"/>
    <m/>
    <m/>
    <m/>
    <m/>
    <m/>
    <m/>
    <n v="0.45"/>
    <n v="0.10271480700000001"/>
    <m/>
    <n v="79887.4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3"/>
    <s v="previous_qtr_leads"/>
    <m/>
    <m/>
    <m/>
    <m/>
    <m/>
    <m/>
    <n v="0.45"/>
    <n v="0.15206854750000001"/>
    <m/>
    <n v="56022.76"/>
    <m/>
    <n v="0"/>
    <m/>
    <x v="1"/>
    <m/>
    <m/>
    <m/>
    <m/>
    <n v="46186"/>
    <x v="4"/>
    <x v="1"/>
    <x v="0"/>
  </r>
  <r>
    <s v="leads"/>
    <x v="10"/>
    <x v="3"/>
    <s v="KE"/>
    <s v="BEN E KEITH"/>
    <s v="Non-SEFA"/>
    <s v="TT"/>
    <s v="summary"/>
    <x v="0"/>
    <x v="3"/>
    <x v="7"/>
    <s v="previous_year_leads"/>
    <m/>
    <m/>
    <m/>
    <m/>
    <m/>
    <m/>
    <n v="0.45"/>
    <n v="0.46879174600000001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2"/>
    <x v="3"/>
    <x v="7"/>
    <s v="previous_qtr_leads"/>
    <m/>
    <m/>
    <m/>
    <m/>
    <m/>
    <m/>
    <n v="0.45"/>
    <n v="0.46078530769999998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1"/>
    <x v="3"/>
    <x v="7"/>
    <s v="current_year_leads"/>
    <m/>
    <m/>
    <m/>
    <m/>
    <m/>
    <m/>
    <n v="0.45"/>
    <n v="0.46512598820000001"/>
    <m/>
    <m/>
    <m/>
    <n v="1"/>
    <n v="0"/>
    <x v="0"/>
    <m/>
    <m/>
    <m/>
    <m/>
    <n v="46186"/>
    <x v="4"/>
    <x v="1"/>
    <x v="1"/>
  </r>
  <r>
    <s v="leads"/>
    <x v="11"/>
    <x v="3"/>
    <s v="KE"/>
    <s v="BEN E KEITH"/>
    <s v="Non-SEFA"/>
    <s v="TT"/>
    <s v="detail"/>
    <x v="1"/>
    <x v="6"/>
    <x v="11"/>
    <s v="current_year_leads"/>
    <m/>
    <m/>
    <m/>
    <m/>
    <m/>
    <m/>
    <n v="0.05"/>
    <n v="1.7705215390000001E-2"/>
    <m/>
    <n v="13770.4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0"/>
    <x v="6"/>
    <x v="11"/>
    <s v="previous_year_leads"/>
    <m/>
    <m/>
    <m/>
    <m/>
    <m/>
    <m/>
    <n v="0.05"/>
    <n v="1.2864970099999999E-2"/>
    <m/>
    <n v="20609.11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2"/>
    <x v="6"/>
    <x v="11"/>
    <s v="previous_qtr_leads"/>
    <m/>
    <m/>
    <m/>
    <m/>
    <m/>
    <m/>
    <n v="0.05"/>
    <n v="2.1713162420000001E-2"/>
    <m/>
    <n v="7999.23"/>
    <m/>
    <n v="0"/>
    <m/>
    <x v="1"/>
    <m/>
    <m/>
    <m/>
    <m/>
    <n v="46186"/>
    <x v="4"/>
    <x v="1"/>
    <x v="0"/>
  </r>
  <r>
    <s v="leads"/>
    <x v="12"/>
    <x v="3"/>
    <s v="KE"/>
    <s v="BEN E KEITH"/>
    <s v="Non-SEFA"/>
    <s v="TT"/>
    <s v="summary"/>
    <x v="2"/>
    <x v="6"/>
    <x v="17"/>
    <s v="previous_qtr_leads"/>
    <m/>
    <m/>
    <m/>
    <m/>
    <m/>
    <m/>
    <n v="0.05"/>
    <n v="2.171316242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1"/>
    <x v="6"/>
    <x v="17"/>
    <s v="current_year_leads"/>
    <m/>
    <m/>
    <m/>
    <m/>
    <m/>
    <m/>
    <n v="0.05"/>
    <n v="1.770521539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0"/>
    <x v="6"/>
    <x v="17"/>
    <s v="previous_year_leads"/>
    <m/>
    <m/>
    <m/>
    <m/>
    <m/>
    <m/>
    <n v="0.05"/>
    <n v="1.2864970099999999E-2"/>
    <m/>
    <m/>
    <m/>
    <n v="0"/>
    <n v="0"/>
    <x v="1"/>
    <m/>
    <m/>
    <m/>
    <m/>
    <n v="46186"/>
    <x v="4"/>
    <x v="1"/>
    <x v="1"/>
  </r>
  <r>
    <s v="leads"/>
    <x v="13"/>
    <x v="3"/>
    <s v="KE"/>
    <s v="BEN E KEITH"/>
    <s v="Non-SEFA"/>
    <s v="TT"/>
    <s v="detail"/>
    <x v="2"/>
    <x v="7"/>
    <x v="10"/>
    <s v="previous_qtr_leads"/>
    <m/>
    <m/>
    <m/>
    <m/>
    <m/>
    <m/>
    <n v="0.05"/>
    <n v="0.34884977700000003"/>
    <m/>
    <n v="128517.88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0"/>
    <x v="7"/>
    <x v="10"/>
    <s v="previous_year_leads"/>
    <m/>
    <m/>
    <m/>
    <m/>
    <m/>
    <m/>
    <n v="0.05"/>
    <n v="0.36470390660000002"/>
    <m/>
    <n v="584239.43999999994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1"/>
    <x v="7"/>
    <x v="10"/>
    <s v="current_year_leads"/>
    <m/>
    <m/>
    <m/>
    <m/>
    <m/>
    <m/>
    <n v="0.05"/>
    <n v="0.36945752370000001"/>
    <m/>
    <n v="287349.11"/>
    <m/>
    <n v="1"/>
    <m/>
    <x v="0"/>
    <m/>
    <m/>
    <m/>
    <m/>
    <n v="46186"/>
    <x v="4"/>
    <x v="1"/>
    <x v="0"/>
  </r>
  <r>
    <s v="leads"/>
    <x v="14"/>
    <x v="3"/>
    <s v="KE"/>
    <s v="BEN E KEITH"/>
    <s v="Non-SEFA"/>
    <s v="TT"/>
    <s v="summary"/>
    <x v="0"/>
    <x v="7"/>
    <x v="18"/>
    <s v="previous_year_leads"/>
    <m/>
    <m/>
    <m/>
    <m/>
    <m/>
    <m/>
    <n v="0.05"/>
    <n v="0.36470390660000002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2"/>
    <x v="7"/>
    <x v="18"/>
    <s v="previous_qtr_leads"/>
    <m/>
    <m/>
    <m/>
    <m/>
    <m/>
    <m/>
    <n v="0.05"/>
    <n v="0.34884977700000003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1"/>
    <x v="7"/>
    <x v="18"/>
    <s v="current_year_leads"/>
    <m/>
    <m/>
    <m/>
    <m/>
    <m/>
    <m/>
    <n v="0.05"/>
    <n v="0.36945752370000001"/>
    <m/>
    <m/>
    <m/>
    <n v="1"/>
    <n v="0"/>
    <x v="0"/>
    <m/>
    <m/>
    <m/>
    <m/>
    <n v="46186"/>
    <x v="4"/>
    <x v="1"/>
    <x v="1"/>
  </r>
  <r>
    <s v="leads"/>
    <x v="15"/>
    <x v="3"/>
    <s v="KE"/>
    <s v="BEN E KEITH"/>
    <s v="Non-SEFA"/>
    <s v="TT"/>
    <s v="detail"/>
    <x v="2"/>
    <x v="8"/>
    <x v="12"/>
    <s v="previous_qtr_leads"/>
    <m/>
    <m/>
    <m/>
    <m/>
    <m/>
    <m/>
    <n v="0.05"/>
    <n v="1.5761256000000001E-2"/>
    <m/>
    <n v="5806.52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0"/>
    <x v="8"/>
    <x v="12"/>
    <s v="previous_year_leads"/>
    <m/>
    <m/>
    <m/>
    <m/>
    <m/>
    <m/>
    <n v="0.05"/>
    <n v="1.470226205E-2"/>
    <m/>
    <n v="23552.37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1"/>
    <x v="8"/>
    <x v="12"/>
    <s v="current_year_leads"/>
    <m/>
    <m/>
    <m/>
    <m/>
    <m/>
    <m/>
    <n v="0.05"/>
    <n v="1.372644061E-2"/>
    <m/>
    <n v="10675.87"/>
    <m/>
    <n v="0"/>
    <m/>
    <x v="1"/>
    <m/>
    <m/>
    <m/>
    <m/>
    <n v="46186"/>
    <x v="4"/>
    <x v="1"/>
    <x v="0"/>
  </r>
  <r>
    <s v="leads"/>
    <x v="16"/>
    <x v="3"/>
    <s v="KE"/>
    <s v="BEN E KEITH"/>
    <s v="Non-SEFA"/>
    <s v="TT"/>
    <s v="summary"/>
    <x v="1"/>
    <x v="8"/>
    <x v="19"/>
    <s v="current_year_leads"/>
    <m/>
    <m/>
    <m/>
    <m/>
    <m/>
    <m/>
    <n v="0.05"/>
    <n v="1.37264406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2"/>
    <x v="8"/>
    <x v="19"/>
    <s v="previous_qtr_leads"/>
    <m/>
    <m/>
    <m/>
    <m/>
    <m/>
    <m/>
    <n v="0.05"/>
    <n v="1.576125600000000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0"/>
    <x v="8"/>
    <x v="19"/>
    <s v="previous_year_leads"/>
    <m/>
    <m/>
    <m/>
    <m/>
    <m/>
    <m/>
    <n v="0.05"/>
    <n v="1.470226205E-2"/>
    <m/>
    <m/>
    <m/>
    <n v="0"/>
    <n v="0"/>
    <x v="1"/>
    <m/>
    <m/>
    <m/>
    <m/>
    <n v="46186"/>
    <x v="4"/>
    <x v="1"/>
    <x v="1"/>
  </r>
  <r>
    <s v="leads"/>
    <x v="17"/>
    <x v="3"/>
    <s v="KE"/>
    <s v="BEN E KEITH"/>
    <s v="Non-SEFA"/>
    <s v="TT"/>
    <s v="detail"/>
    <x v="0"/>
    <x v="5"/>
    <x v="15"/>
    <s v="previous_year_leads"/>
    <m/>
    <m/>
    <m/>
    <m/>
    <m/>
    <m/>
    <n v="0.05"/>
    <n v="1.5746904039999999E-2"/>
    <m/>
    <n v="25225.84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5"/>
    <s v="current_year_leads"/>
    <m/>
    <m/>
    <m/>
    <m/>
    <m/>
    <m/>
    <n v="0.05"/>
    <n v="4.29663652E-3"/>
    <m/>
    <n v="3341.75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4"/>
    <s v="previous_qt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4"/>
    <s v="current_yea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0"/>
    <x v="5"/>
    <x v="14"/>
    <s v="previous_year_leads"/>
    <m/>
    <m/>
    <m/>
    <m/>
    <m/>
    <m/>
    <n v="0.05"/>
    <n v="6.5192820930000004E-4"/>
    <m/>
    <n v="1044.3599999999999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5"/>
    <s v="previous_qtr_leads"/>
    <m/>
    <m/>
    <m/>
    <m/>
    <m/>
    <m/>
    <n v="0.05"/>
    <n v="9.0708681339999996E-3"/>
    <m/>
    <n v="3341.75"/>
    <m/>
    <n v="0"/>
    <m/>
    <x v="1"/>
    <m/>
    <m/>
    <m/>
    <m/>
    <n v="46186"/>
    <x v="4"/>
    <x v="1"/>
    <x v="0"/>
  </r>
  <r>
    <s v="leads"/>
    <x v="18"/>
    <x v="3"/>
    <s v="KE"/>
    <s v="BEN E KEITH"/>
    <s v="Non-SEFA"/>
    <s v="TT"/>
    <s v="summary"/>
    <x v="2"/>
    <x v="5"/>
    <x v="16"/>
    <s v="previous_qtr_leads"/>
    <m/>
    <m/>
    <m/>
    <m/>
    <m/>
    <m/>
    <n v="0.05"/>
    <n v="9.0708681339999996E-3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0"/>
    <x v="5"/>
    <x v="16"/>
    <s v="previous_year_leads"/>
    <m/>
    <m/>
    <m/>
    <m/>
    <m/>
    <m/>
    <n v="0.05"/>
    <n v="1.6398832240000001E-2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1"/>
    <x v="5"/>
    <x v="16"/>
    <s v="current_year_leads"/>
    <m/>
    <m/>
    <m/>
    <m/>
    <m/>
    <m/>
    <n v="0.05"/>
    <n v="4.29663652E-3"/>
    <m/>
    <m/>
    <m/>
    <n v="0"/>
    <n v="0"/>
    <x v="1"/>
    <m/>
    <m/>
    <m/>
    <m/>
    <n v="46186"/>
    <x v="4"/>
    <x v="1"/>
    <x v="1"/>
  </r>
  <r>
    <s v="leads"/>
    <x v="19"/>
    <x v="3"/>
    <s v="KE"/>
    <s v="BEN E KEITH"/>
    <s v="Non-SEFA"/>
    <s v="TT"/>
    <s v="summary"/>
    <x v="0"/>
    <x v="9"/>
    <x v="20"/>
    <s v="previous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1"/>
    <x v="9"/>
    <x v="20"/>
    <s v="current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2"/>
    <x v="9"/>
    <x v="20"/>
    <s v="previous_qtr_leads"/>
    <m/>
    <m/>
    <m/>
    <m/>
    <m/>
    <m/>
    <m/>
    <m/>
    <m/>
    <m/>
    <m/>
    <m/>
    <n v="1"/>
    <x v="0"/>
    <m/>
    <m/>
    <m/>
    <m/>
    <n v="46186"/>
    <x v="5"/>
    <x v="1"/>
    <x v="1"/>
  </r>
  <r>
    <s v="drop ship"/>
    <x v="20"/>
    <x v="4"/>
    <s v="KE"/>
    <s v="BEN E KEITH"/>
    <s v="Non-SEFA"/>
    <s v="TT"/>
    <s v="summary"/>
    <x v="0"/>
    <x v="10"/>
    <x v="0"/>
    <s v="previous_year_drop_ship"/>
    <m/>
    <m/>
    <m/>
    <m/>
    <m/>
    <m/>
    <n v="0.5"/>
    <n v="5.8999999999999997E-2"/>
    <m/>
    <n v="94352.26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2"/>
    <x v="10"/>
    <x v="0"/>
    <s v="previous_qtr_drop_ship"/>
    <m/>
    <m/>
    <m/>
    <m/>
    <m/>
    <m/>
    <n v="0.5"/>
    <n v="0.14099999999999999"/>
    <m/>
    <n v="51996.12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1"/>
    <x v="10"/>
    <x v="0"/>
    <s v="current_year_drop_ship"/>
    <m/>
    <m/>
    <m/>
    <m/>
    <m/>
    <m/>
    <n v="0.5"/>
    <n v="0.10100000000000001"/>
    <m/>
    <n v="78298.14"/>
    <m/>
    <m/>
    <n v="1"/>
    <x v="0"/>
    <m/>
    <m/>
    <m/>
    <m/>
    <n v="46186"/>
    <x v="6"/>
    <x v="1"/>
    <x v="1"/>
  </r>
  <r>
    <s v="new products"/>
    <x v="21"/>
    <x v="5"/>
    <s v="KE"/>
    <s v="BEN E KEITH"/>
    <s v="Non-SEFA"/>
    <s v="TT"/>
    <s v="summary"/>
    <x v="2"/>
    <x v="11"/>
    <x v="0"/>
    <s v="previous_qtr_new_product"/>
    <m/>
    <m/>
    <m/>
    <m/>
    <m/>
    <m/>
    <n v="0.04"/>
    <n v="9.7168616090000007E-2"/>
    <m/>
    <n v="35797.370000000003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0"/>
    <x v="11"/>
    <x v="0"/>
    <s v="previous_year_new_product"/>
    <m/>
    <m/>
    <m/>
    <m/>
    <m/>
    <m/>
    <n v="0.04"/>
    <n v="9.3985049629999998E-2"/>
    <m/>
    <n v="150559.87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1"/>
    <x v="11"/>
    <x v="0"/>
    <s v="current_year_new_product"/>
    <m/>
    <m/>
    <m/>
    <m/>
    <m/>
    <m/>
    <n v="0.04"/>
    <n v="9.1444871139999995E-2"/>
    <m/>
    <n v="71122.12"/>
    <m/>
    <m/>
    <n v="1"/>
    <x v="0"/>
    <m/>
    <m/>
    <m/>
    <m/>
    <n v="46186"/>
    <x v="7"/>
    <x v="1"/>
    <x v="1"/>
  </r>
  <r>
    <s v="qualifiers"/>
    <x v="22"/>
    <x v="6"/>
    <s v="KE"/>
    <s v="BEN E KEITH"/>
    <s v="Non-SEFA"/>
    <s v="TT"/>
    <s v="summary"/>
    <x v="2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0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1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3"/>
    <x v="7"/>
    <s v="KE"/>
    <s v="BEN E KEITH"/>
    <s v="Non-SEFA"/>
    <s v="TT"/>
    <s v="summary"/>
    <x v="0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2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1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4"/>
    <x v="8"/>
    <s v="KE"/>
    <s v="BEN E KEITH"/>
    <s v="Non-SEFA"/>
    <s v="TT"/>
    <s v="summary"/>
    <x v="2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0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1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m/>
    <x v="25"/>
    <x v="9"/>
    <m/>
    <m/>
    <m/>
    <m/>
    <m/>
    <x v="3"/>
    <x v="0"/>
    <x v="0"/>
    <m/>
    <m/>
    <m/>
    <m/>
    <m/>
    <m/>
    <m/>
    <m/>
    <m/>
    <m/>
    <m/>
    <m/>
    <m/>
    <m/>
    <x v="2"/>
    <m/>
    <m/>
    <m/>
    <m/>
    <m/>
    <x v="11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241F7-D62B-43FC-B943-8A668788D47A}" name="PivotTable2" cacheId="0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5:K20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25"/>
  </rowFields>
  <rowItems count="15">
    <i>
      <x v="3"/>
      <x v="2"/>
      <x v="4"/>
      <x v="2"/>
      <x v="1"/>
    </i>
    <i>
      <x v="5"/>
      <x v="3"/>
      <x v="5"/>
      <x v="3"/>
      <x v="2"/>
    </i>
    <i>
      <x v="7"/>
      <x v="3"/>
      <x v="5"/>
      <x v="4"/>
      <x v="2"/>
    </i>
    <i>
      <x v="9"/>
      <x v="3"/>
      <x v="5"/>
      <x v="5"/>
      <x v="2"/>
    </i>
    <i>
      <x v="11"/>
      <x v="4"/>
      <x v="6"/>
      <x v="3"/>
      <x v="1"/>
    </i>
    <i>
      <x v="13"/>
      <x v="4"/>
      <x v="6"/>
      <x v="6"/>
      <x v="2"/>
    </i>
    <i>
      <x v="15"/>
      <x v="4"/>
      <x v="6"/>
      <x v="7"/>
      <x v="1"/>
    </i>
    <i>
      <x v="17"/>
      <x v="4"/>
      <x v="6"/>
      <x v="8"/>
      <x v="2"/>
    </i>
    <i>
      <x v="19"/>
      <x v="4"/>
      <x v="6"/>
      <x v="5"/>
      <x v="2"/>
    </i>
    <i>
      <x v="20"/>
      <x v="4"/>
      <x v="7"/>
      <x v="9"/>
      <x v="1"/>
    </i>
    <i>
      <x v="21"/>
      <x v="5"/>
      <x v="8"/>
      <x v="10"/>
      <x v="1"/>
    </i>
    <i>
      <x v="22"/>
      <x v="6"/>
      <x v="9"/>
      <x v="11"/>
      <x v="1"/>
    </i>
    <i>
      <x v="23"/>
      <x v="7"/>
      <x v="10"/>
      <x v="12"/>
      <x v="1"/>
    </i>
    <i>
      <x v="24"/>
      <x v="8"/>
      <x v="11"/>
      <x/>
      <x v="2"/>
    </i>
    <i>
      <x v="25"/>
      <x v="9"/>
      <x v="12"/>
      <x/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item="1" hier="-1"/>
    <pageField fld="33" item="2" hier="-1"/>
  </pageFields>
  <dataFields count="6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114BC-20E3-40D4-8350-836392A0C8BC}" name="PivotTable2" cacheId="0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6:Q41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10"/>
  </rowFields>
  <rowItems count="35">
    <i>
      <x v="1"/>
      <x v="2"/>
      <x v="3"/>
      <x v="1"/>
      <x/>
    </i>
    <i>
      <x v="2"/>
      <x v="2"/>
      <x v="4"/>
      <x v="2"/>
      <x/>
    </i>
    <i>
      <x v="3"/>
      <x v="3"/>
      <x v="5"/>
      <x v="3"/>
      <x v="1"/>
    </i>
    <i r="4">
      <x v="2"/>
    </i>
    <i r="4">
      <x v="3"/>
    </i>
    <i r="4">
      <x v="4"/>
    </i>
    <i r="4">
      <x v="5"/>
    </i>
    <i r="4">
      <x v="6"/>
    </i>
    <i>
      <x v="4"/>
      <x v="3"/>
      <x v="5"/>
      <x v="3"/>
      <x v="7"/>
    </i>
    <i>
      <x v="5"/>
      <x v="3"/>
      <x v="5"/>
      <x v="4"/>
      <x v="8"/>
    </i>
    <i r="4">
      <x v="9"/>
    </i>
    <i r="4">
      <x v="10"/>
    </i>
    <i r="4">
      <x v="11"/>
    </i>
    <i r="4">
      <x v="12"/>
    </i>
    <i>
      <x v="6"/>
      <x v="3"/>
      <x v="5"/>
      <x v="4"/>
      <x v="13"/>
    </i>
    <i>
      <x v="7"/>
      <x v="3"/>
      <x v="5"/>
      <x v="5"/>
      <x v="14"/>
    </i>
    <i r="4">
      <x v="15"/>
    </i>
    <i>
      <x v="8"/>
      <x v="3"/>
      <x v="5"/>
      <x v="5"/>
      <x v="16"/>
    </i>
    <i>
      <x v="9"/>
      <x v="4"/>
      <x v="6"/>
      <x v="3"/>
      <x v="3"/>
    </i>
    <i r="4">
      <x v="4"/>
    </i>
    <i r="4">
      <x v="5"/>
    </i>
    <i>
      <x v="10"/>
      <x v="4"/>
      <x v="6"/>
      <x v="3"/>
      <x v="7"/>
    </i>
    <i>
      <x v="11"/>
      <x v="4"/>
      <x v="6"/>
      <x v="6"/>
      <x v="11"/>
    </i>
    <i>
      <x v="12"/>
      <x v="4"/>
      <x v="6"/>
      <x v="6"/>
      <x v="17"/>
    </i>
    <i>
      <x v="13"/>
      <x v="4"/>
      <x v="6"/>
      <x v="7"/>
      <x v="10"/>
    </i>
    <i>
      <x v="14"/>
      <x v="4"/>
      <x v="6"/>
      <x v="7"/>
      <x v="18"/>
    </i>
    <i>
      <x v="15"/>
      <x v="4"/>
      <x v="6"/>
      <x v="8"/>
      <x v="12"/>
    </i>
    <i>
      <x v="16"/>
      <x v="4"/>
      <x v="6"/>
      <x v="8"/>
      <x v="19"/>
    </i>
    <i>
      <x v="17"/>
      <x v="4"/>
      <x v="6"/>
      <x v="5"/>
      <x v="14"/>
    </i>
    <i r="4">
      <x v="15"/>
    </i>
    <i>
      <x v="18"/>
      <x v="4"/>
      <x v="6"/>
      <x v="5"/>
      <x v="16"/>
    </i>
    <i>
      <x v="19"/>
      <x v="4"/>
      <x v="7"/>
      <x v="9"/>
      <x v="20"/>
    </i>
    <i>
      <x v="20"/>
      <x v="5"/>
      <x v="8"/>
      <x v="10"/>
      <x/>
    </i>
    <i>
      <x v="21"/>
      <x v="6"/>
      <x v="9"/>
      <x v="11"/>
      <x/>
    </i>
    <i>
      <x v="22"/>
      <x v="7"/>
      <x v="10"/>
      <x v="12"/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2">
    <pageField fld="8" item="1" hier="-1"/>
    <pageField fld="32" item="0" hier="-1"/>
  </pageFields>
  <dataFields count="12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  <dataField name="Sum of AMOUNT_REMAINING" fld="28" baseField="25" baseItem="1" numFmtId="164"/>
    <dataField name="Sum of PREVIOUS_YEAR_SALES" fld="14" baseField="25" baseItem="1" numFmtId="164"/>
    <dataField name="Sum of PREVIOUS_YEAR2_SALES" fld="13" baseField="25" baseItem="1" numFmtId="164"/>
    <dataField name="Sum of PREVIOUS_YEAR3_SALES" fld="12" baseField="25" baseItem="1" numFmtId="164"/>
    <dataField name="Sum of THREE_YEAR_AVG" fld="15" baseField="25" baseItem="1" numFmtId="164"/>
    <dataField name="Sum of PERCENT_TO_TARGET" fld="27" baseField="25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F0E1E3A-22F4-4FDF-B7BA-6E920DC7CFF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68ea554-58be-4ddc-920e-d1e1bea860c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8700-6BB4-46FD-85AA-65F2F6372DFF}">
  <sheetPr codeName="Sheet7"/>
  <dimension ref="C2:J11"/>
  <sheetViews>
    <sheetView showGridLines="0" tabSelected="1" workbookViewId="0">
      <selection activeCell="F9" sqref="F9:G10"/>
    </sheetView>
  </sheetViews>
  <sheetFormatPr defaultRowHeight="14.5" x14ac:dyDescent="0.35"/>
  <sheetData>
    <row r="2" spans="3:10" ht="15" thickBot="1" x14ac:dyDescent="0.4"/>
    <row r="3" spans="3:10" ht="15" thickTop="1" x14ac:dyDescent="0.35">
      <c r="C3" s="33" t="s">
        <v>126</v>
      </c>
      <c r="D3" s="34"/>
      <c r="E3" s="34"/>
      <c r="F3" s="34"/>
      <c r="G3" s="34"/>
      <c r="H3" s="34"/>
      <c r="I3" s="34"/>
      <c r="J3" s="35"/>
    </row>
    <row r="4" spans="3:10" x14ac:dyDescent="0.35">
      <c r="C4" s="36"/>
      <c r="D4" s="37"/>
      <c r="E4" s="37"/>
      <c r="F4" s="37"/>
      <c r="G4" s="37"/>
      <c r="H4" s="37"/>
      <c r="I4" s="37"/>
      <c r="J4" s="38"/>
    </row>
    <row r="5" spans="3:10" ht="15" thickBot="1" x14ac:dyDescent="0.4">
      <c r="C5" s="39"/>
      <c r="D5" s="40"/>
      <c r="E5" s="40"/>
      <c r="F5" s="40"/>
      <c r="G5" s="40"/>
      <c r="H5" s="40"/>
      <c r="I5" s="40"/>
      <c r="J5" s="41"/>
    </row>
    <row r="6" spans="3:10" ht="15" thickTop="1" x14ac:dyDescent="0.35"/>
    <row r="8" spans="3:10" ht="15" thickBot="1" x14ac:dyDescent="0.4"/>
    <row r="9" spans="3:10" ht="15" thickTop="1" x14ac:dyDescent="0.35">
      <c r="F9" s="42" t="s">
        <v>127</v>
      </c>
      <c r="G9" s="43"/>
    </row>
    <row r="10" spans="3:10" ht="15" thickBot="1" x14ac:dyDescent="0.4">
      <c r="F10" s="44"/>
      <c r="G10" s="45"/>
    </row>
    <row r="11" spans="3:10" ht="15" thickTop="1" x14ac:dyDescent="0.35"/>
  </sheetData>
  <mergeCells count="2">
    <mergeCell ref="C3:J5"/>
    <mergeCell ref="F9:G10"/>
  </mergeCells>
  <dataValidations count="1">
    <dataValidation type="list" allowBlank="1" showInputMessage="1" showErrorMessage="1" errorTitle="Report Time Period" error="Please select from Previous Year, Current Year, Previous Quarter" promptTitle="Report Time Period" prompt="Please select from Previous Year, Current Year, Previous Quarter" sqref="F9" xr:uid="{26CE7DE2-5066-4393-9097-5719F0548D53}">
      <formula1>"Please Select,Previous Year,Current Year,Previous Quarter"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TwoSheetsAsPDFWithPrompt">
                <anchor moveWithCells="1" sizeWithCells="1">
                  <from>
                    <xdr:col>3</xdr:col>
                    <xdr:colOff>514350</xdr:colOff>
                    <xdr:row>17</xdr:row>
                    <xdr:rowOff>152400</xdr:rowOff>
                  </from>
                  <to>
                    <xdr:col>7</xdr:col>
                    <xdr:colOff>603250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03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17.6328125" customWidth="1"/>
    <col min="2" max="2" width="21.81640625" customWidth="1"/>
    <col min="3" max="3" width="25.26953125" customWidth="1"/>
    <col min="4" max="5" width="20.1796875" customWidth="1"/>
    <col min="6" max="6" width="18.54296875" customWidth="1"/>
    <col min="7" max="7" width="19.54296875" customWidth="1"/>
    <col min="8" max="8" width="19.81640625" customWidth="1"/>
    <col min="9" max="9" width="14.54296875" customWidth="1"/>
    <col min="10" max="10" width="46.90625" bestFit="1" customWidth="1"/>
    <col min="11" max="11" width="31.26953125" bestFit="1" customWidth="1"/>
    <col min="12" max="12" width="26.26953125" customWidth="1"/>
    <col min="13" max="13" width="23.54296875" style="4" customWidth="1"/>
    <col min="14" max="14" width="24.81640625" style="4" customWidth="1"/>
    <col min="15" max="15" width="22.54296875" style="4" customWidth="1"/>
    <col min="16" max="16" width="18.90625" style="4" customWidth="1"/>
    <col min="17" max="17" width="27.1796875" style="4" customWidth="1"/>
    <col min="18" max="18" width="37.6328125" style="4" customWidth="1"/>
    <col min="19" max="19" width="15.36328125" style="6" customWidth="1"/>
    <col min="20" max="20" width="21.6328125" style="6" bestFit="1" customWidth="1"/>
    <col min="21" max="22" width="18.54296875" style="4" bestFit="1" customWidth="1"/>
    <col min="23" max="23" width="20.6328125" customWidth="1"/>
    <col min="24" max="24" width="24.90625" customWidth="1"/>
    <col min="25" max="25" width="23.453125" customWidth="1"/>
    <col min="26" max="26" width="25.36328125" bestFit="1" customWidth="1"/>
    <col min="27" max="27" width="23.54296875" customWidth="1"/>
    <col min="28" max="28" width="20.7265625" style="6" customWidth="1"/>
    <col min="29" max="29" width="20.54296875" style="4" customWidth="1"/>
    <col min="30" max="30" width="17.453125" customWidth="1"/>
    <col min="31" max="31" width="14.26953125" customWidth="1"/>
    <col min="32" max="32" width="65.81640625" style="4" bestFit="1" customWidth="1"/>
    <col min="33" max="33" width="14.90625" customWidth="1"/>
    <col min="34" max="34" width="17.81640625" customWidth="1"/>
  </cols>
  <sheetData>
    <row r="1" spans="1:34" s="3" customFormat="1" x14ac:dyDescent="0.3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4" t="s">
        <v>17</v>
      </c>
      <c r="S1" s="25" t="s">
        <v>18</v>
      </c>
      <c r="T1" s="25" t="s">
        <v>19</v>
      </c>
      <c r="U1" s="24" t="s">
        <v>20</v>
      </c>
      <c r="V1" s="24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5" t="s">
        <v>27</v>
      </c>
      <c r="AC1" s="24" t="s">
        <v>28</v>
      </c>
      <c r="AD1" s="23" t="s">
        <v>29</v>
      </c>
      <c r="AE1" s="23" t="s">
        <v>30</v>
      </c>
      <c r="AF1" s="24" t="s">
        <v>38</v>
      </c>
      <c r="AG1" s="23" t="s">
        <v>48</v>
      </c>
      <c r="AH1" s="26" t="s">
        <v>50</v>
      </c>
    </row>
    <row r="2" spans="1:34" x14ac:dyDescent="0.35">
      <c r="B2" s="32"/>
      <c r="AE2" s="31"/>
    </row>
    <row r="3" spans="1:34" x14ac:dyDescent="0.35">
      <c r="B3" s="32"/>
      <c r="AE3" s="31"/>
    </row>
    <row r="4" spans="1:34" x14ac:dyDescent="0.35">
      <c r="B4" s="32"/>
      <c r="AE4" s="31"/>
    </row>
    <row r="5" spans="1:34" x14ac:dyDescent="0.35">
      <c r="B5" s="32"/>
      <c r="AE5" s="31"/>
    </row>
    <row r="6" spans="1:34" x14ac:dyDescent="0.35">
      <c r="B6" s="32"/>
      <c r="AE6" s="31"/>
    </row>
    <row r="7" spans="1:34" x14ac:dyDescent="0.35">
      <c r="B7" s="32"/>
      <c r="AE7" s="31"/>
    </row>
    <row r="8" spans="1:34" x14ac:dyDescent="0.35">
      <c r="B8" s="32"/>
      <c r="AE8" s="31"/>
    </row>
    <row r="9" spans="1:34" x14ac:dyDescent="0.35">
      <c r="B9" s="32"/>
      <c r="AE9" s="31"/>
    </row>
    <row r="10" spans="1:34" x14ac:dyDescent="0.35">
      <c r="B10" s="32"/>
      <c r="AE10" s="31"/>
    </row>
    <row r="11" spans="1:34" x14ac:dyDescent="0.35">
      <c r="B11" s="32"/>
      <c r="AE11" s="31"/>
    </row>
    <row r="12" spans="1:34" x14ac:dyDescent="0.35">
      <c r="B12" s="32"/>
      <c r="AE12" s="31"/>
    </row>
    <row r="13" spans="1:34" x14ac:dyDescent="0.35">
      <c r="B13" s="32"/>
      <c r="AE13" s="31"/>
    </row>
    <row r="14" spans="1:34" x14ac:dyDescent="0.35">
      <c r="B14" s="32"/>
      <c r="AE14" s="31"/>
    </row>
    <row r="15" spans="1:34" x14ac:dyDescent="0.35">
      <c r="B15" s="32"/>
      <c r="AE15" s="31"/>
    </row>
    <row r="16" spans="1:34" x14ac:dyDescent="0.35">
      <c r="B16" s="32"/>
      <c r="AE16" s="31"/>
    </row>
    <row r="17" spans="2:31" x14ac:dyDescent="0.35">
      <c r="B17" s="32"/>
      <c r="AE17" s="31"/>
    </row>
    <row r="18" spans="2:31" x14ac:dyDescent="0.35">
      <c r="B18" s="32"/>
      <c r="AE18" s="31"/>
    </row>
    <row r="19" spans="2:31" x14ac:dyDescent="0.35">
      <c r="B19" s="32"/>
      <c r="AE19" s="31"/>
    </row>
    <row r="20" spans="2:31" x14ac:dyDescent="0.35">
      <c r="B20" s="32"/>
      <c r="AE20" s="31"/>
    </row>
    <row r="21" spans="2:31" x14ac:dyDescent="0.35">
      <c r="B21" s="32"/>
      <c r="AE21" s="31"/>
    </row>
    <row r="22" spans="2:31" x14ac:dyDescent="0.35">
      <c r="B22" s="32"/>
      <c r="AE22" s="31"/>
    </row>
    <row r="23" spans="2:31" x14ac:dyDescent="0.35">
      <c r="B23" s="32"/>
      <c r="AE23" s="31"/>
    </row>
    <row r="24" spans="2:31" x14ac:dyDescent="0.35">
      <c r="B24" s="32"/>
      <c r="AE24" s="31"/>
    </row>
    <row r="25" spans="2:31" x14ac:dyDescent="0.35">
      <c r="B25" s="32"/>
      <c r="AE25" s="31"/>
    </row>
    <row r="26" spans="2:31" x14ac:dyDescent="0.35">
      <c r="B26" s="32"/>
      <c r="AE26" s="31"/>
    </row>
    <row r="27" spans="2:31" x14ac:dyDescent="0.35">
      <c r="B27" s="32"/>
      <c r="AE27" s="31"/>
    </row>
    <row r="28" spans="2:31" x14ac:dyDescent="0.35">
      <c r="B28" s="32"/>
      <c r="AE28" s="31"/>
    </row>
    <row r="29" spans="2:31" x14ac:dyDescent="0.35">
      <c r="B29" s="32"/>
      <c r="AE29" s="31"/>
    </row>
    <row r="30" spans="2:31" x14ac:dyDescent="0.35">
      <c r="B30" s="32"/>
      <c r="AE30" s="31"/>
    </row>
    <row r="31" spans="2:31" x14ac:dyDescent="0.35">
      <c r="B31" s="32"/>
      <c r="AE31" s="31"/>
    </row>
    <row r="32" spans="2:31" x14ac:dyDescent="0.35">
      <c r="B32" s="32"/>
      <c r="AE32" s="31"/>
    </row>
    <row r="33" spans="2:31" x14ac:dyDescent="0.35">
      <c r="B33" s="32"/>
      <c r="AE33" s="31"/>
    </row>
    <row r="34" spans="2:31" x14ac:dyDescent="0.35">
      <c r="B34" s="32"/>
      <c r="AE34" s="31"/>
    </row>
    <row r="35" spans="2:31" x14ac:dyDescent="0.35">
      <c r="B35" s="32"/>
      <c r="AE35" s="31"/>
    </row>
    <row r="36" spans="2:31" x14ac:dyDescent="0.35">
      <c r="B36" s="32"/>
      <c r="AE36" s="31"/>
    </row>
    <row r="37" spans="2:31" x14ac:dyDescent="0.35">
      <c r="B37" s="32"/>
      <c r="AE37" s="31"/>
    </row>
    <row r="38" spans="2:31" x14ac:dyDescent="0.35">
      <c r="B38" s="32"/>
      <c r="AE38" s="31"/>
    </row>
    <row r="39" spans="2:31" x14ac:dyDescent="0.35">
      <c r="B39" s="32"/>
      <c r="AE39" s="31"/>
    </row>
    <row r="40" spans="2:31" x14ac:dyDescent="0.35">
      <c r="B40" s="32"/>
      <c r="AE40" s="31"/>
    </row>
    <row r="41" spans="2:31" x14ac:dyDescent="0.35">
      <c r="B41" s="32"/>
      <c r="AE41" s="31"/>
    </row>
    <row r="42" spans="2:31" x14ac:dyDescent="0.35">
      <c r="B42" s="32"/>
      <c r="AE42" s="31"/>
    </row>
    <row r="43" spans="2:31" x14ac:dyDescent="0.35">
      <c r="B43" s="32"/>
      <c r="AE43" s="31"/>
    </row>
    <row r="44" spans="2:31" x14ac:dyDescent="0.35">
      <c r="B44" s="32"/>
      <c r="AE44" s="31"/>
    </row>
    <row r="45" spans="2:31" x14ac:dyDescent="0.35">
      <c r="B45" s="32"/>
      <c r="AE45" s="31"/>
    </row>
    <row r="46" spans="2:31" x14ac:dyDescent="0.35">
      <c r="B46" s="32"/>
      <c r="AE46" s="31"/>
    </row>
    <row r="47" spans="2:31" x14ac:dyDescent="0.35">
      <c r="B47" s="32"/>
      <c r="AE47" s="31"/>
    </row>
    <row r="48" spans="2:31" x14ac:dyDescent="0.35">
      <c r="B48" s="32"/>
      <c r="AE48" s="31"/>
    </row>
    <row r="49" spans="2:31" x14ac:dyDescent="0.35">
      <c r="B49" s="32"/>
      <c r="AE49" s="31"/>
    </row>
    <row r="50" spans="2:31" x14ac:dyDescent="0.35">
      <c r="B50" s="32"/>
      <c r="AE50" s="31"/>
    </row>
    <row r="51" spans="2:31" x14ac:dyDescent="0.35">
      <c r="B51" s="32"/>
      <c r="AE51" s="31"/>
    </row>
    <row r="52" spans="2:31" x14ac:dyDescent="0.35">
      <c r="B52" s="32"/>
      <c r="AE52" s="31"/>
    </row>
    <row r="53" spans="2:31" x14ac:dyDescent="0.35">
      <c r="B53" s="32"/>
      <c r="AE53" s="31"/>
    </row>
    <row r="54" spans="2:31" x14ac:dyDescent="0.35">
      <c r="B54" s="32"/>
      <c r="AE54" s="31"/>
    </row>
    <row r="55" spans="2:31" x14ac:dyDescent="0.35">
      <c r="B55" s="32"/>
      <c r="AE55" s="31"/>
    </row>
    <row r="56" spans="2:31" x14ac:dyDescent="0.35">
      <c r="B56" s="32"/>
      <c r="AE56" s="31"/>
    </row>
    <row r="57" spans="2:31" x14ac:dyDescent="0.35">
      <c r="B57" s="32"/>
      <c r="AE57" s="31"/>
    </row>
    <row r="58" spans="2:31" x14ac:dyDescent="0.35">
      <c r="B58" s="32"/>
      <c r="AE58" s="31"/>
    </row>
    <row r="59" spans="2:31" x14ac:dyDescent="0.35">
      <c r="B59" s="32"/>
      <c r="AE59" s="31"/>
    </row>
    <row r="60" spans="2:31" x14ac:dyDescent="0.35">
      <c r="B60" s="32"/>
      <c r="AE60" s="31"/>
    </row>
    <row r="61" spans="2:31" x14ac:dyDescent="0.35">
      <c r="B61" s="32"/>
      <c r="AE61" s="31"/>
    </row>
    <row r="62" spans="2:31" x14ac:dyDescent="0.35">
      <c r="B62" s="32"/>
      <c r="AE62" s="31"/>
    </row>
    <row r="63" spans="2:31" x14ac:dyDescent="0.35">
      <c r="B63" s="32"/>
      <c r="AE63" s="31"/>
    </row>
    <row r="64" spans="2:31" x14ac:dyDescent="0.35">
      <c r="B64" s="32"/>
      <c r="AE64" s="31"/>
    </row>
    <row r="65" spans="2:31" x14ac:dyDescent="0.35">
      <c r="B65" s="32"/>
      <c r="AE65" s="31"/>
    </row>
    <row r="66" spans="2:31" x14ac:dyDescent="0.35">
      <c r="B66" s="32"/>
      <c r="AE66" s="31"/>
    </row>
    <row r="67" spans="2:31" x14ac:dyDescent="0.35">
      <c r="B67" s="32"/>
      <c r="AE67" s="31"/>
    </row>
    <row r="68" spans="2:31" x14ac:dyDescent="0.35">
      <c r="B68" s="32"/>
      <c r="AE68" s="31"/>
    </row>
    <row r="69" spans="2:31" x14ac:dyDescent="0.35">
      <c r="B69" s="32"/>
      <c r="AE69" s="31"/>
    </row>
    <row r="70" spans="2:31" x14ac:dyDescent="0.35">
      <c r="B70" s="32"/>
      <c r="AE70" s="31"/>
    </row>
    <row r="71" spans="2:31" x14ac:dyDescent="0.35">
      <c r="B71" s="32"/>
      <c r="AE71" s="31"/>
    </row>
    <row r="72" spans="2:31" x14ac:dyDescent="0.35">
      <c r="B72" s="32"/>
      <c r="AE72" s="31"/>
    </row>
    <row r="73" spans="2:31" x14ac:dyDescent="0.35">
      <c r="B73" s="32"/>
      <c r="AE73" s="31"/>
    </row>
    <row r="74" spans="2:31" x14ac:dyDescent="0.35">
      <c r="B74" s="32"/>
      <c r="AE74" s="31"/>
    </row>
    <row r="75" spans="2:31" x14ac:dyDescent="0.35">
      <c r="B75" s="32"/>
      <c r="AE75" s="31"/>
    </row>
    <row r="76" spans="2:31" x14ac:dyDescent="0.35">
      <c r="B76" s="32"/>
      <c r="AE76" s="31"/>
    </row>
    <row r="77" spans="2:31" x14ac:dyDescent="0.35">
      <c r="B77" s="32"/>
      <c r="AE77" s="31"/>
    </row>
    <row r="78" spans="2:31" x14ac:dyDescent="0.35">
      <c r="B78" s="32"/>
      <c r="AE78" s="31"/>
    </row>
    <row r="79" spans="2:31" x14ac:dyDescent="0.35">
      <c r="B79" s="32"/>
      <c r="AE79" s="31"/>
    </row>
    <row r="80" spans="2:31" x14ac:dyDescent="0.35">
      <c r="B80" s="32"/>
      <c r="AE80" s="31"/>
    </row>
    <row r="81" spans="2:31" x14ac:dyDescent="0.35">
      <c r="B81" s="32"/>
      <c r="AE81" s="31"/>
    </row>
    <row r="82" spans="2:31" x14ac:dyDescent="0.35">
      <c r="B82" s="32"/>
      <c r="AE82" s="31"/>
    </row>
    <row r="83" spans="2:31" x14ac:dyDescent="0.35">
      <c r="B83" s="32"/>
      <c r="AE83" s="31"/>
    </row>
    <row r="84" spans="2:31" x14ac:dyDescent="0.35">
      <c r="B84" s="32"/>
      <c r="AE84" s="31"/>
    </row>
    <row r="85" spans="2:31" x14ac:dyDescent="0.35">
      <c r="B85" s="32"/>
      <c r="AE85" s="31"/>
    </row>
    <row r="86" spans="2:31" x14ac:dyDescent="0.35">
      <c r="B86" s="32"/>
      <c r="AE86" s="31"/>
    </row>
    <row r="87" spans="2:31" x14ac:dyDescent="0.35">
      <c r="B87" s="32"/>
      <c r="AE87" s="31"/>
    </row>
    <row r="88" spans="2:31" x14ac:dyDescent="0.35">
      <c r="B88" s="32"/>
      <c r="AE88" s="31"/>
    </row>
    <row r="89" spans="2:31" x14ac:dyDescent="0.35">
      <c r="B89" s="32"/>
      <c r="AE89" s="31"/>
    </row>
    <row r="90" spans="2:31" x14ac:dyDescent="0.35">
      <c r="B90" s="32"/>
      <c r="AE90" s="31"/>
    </row>
    <row r="91" spans="2:31" x14ac:dyDescent="0.35">
      <c r="B91" s="32"/>
      <c r="AE91" s="31"/>
    </row>
    <row r="92" spans="2:31" x14ac:dyDescent="0.35">
      <c r="B92" s="32"/>
      <c r="AE92" s="31"/>
    </row>
    <row r="93" spans="2:31" x14ac:dyDescent="0.35">
      <c r="B93" s="32"/>
      <c r="AE93" s="31"/>
    </row>
    <row r="94" spans="2:31" x14ac:dyDescent="0.35">
      <c r="B94" s="32"/>
      <c r="AE94" s="31"/>
    </row>
    <row r="95" spans="2:31" x14ac:dyDescent="0.35">
      <c r="B95" s="32"/>
      <c r="AE95" s="31"/>
    </row>
    <row r="96" spans="2:31" x14ac:dyDescent="0.35">
      <c r="B96" s="32"/>
      <c r="AE96" s="31"/>
    </row>
    <row r="97" spans="2:31" x14ac:dyDescent="0.35">
      <c r="B97" s="32"/>
      <c r="AE97" s="31"/>
    </row>
    <row r="98" spans="2:31" x14ac:dyDescent="0.35">
      <c r="B98" s="32"/>
      <c r="AE98" s="31"/>
    </row>
    <row r="99" spans="2:31" x14ac:dyDescent="0.35">
      <c r="B99" s="32"/>
      <c r="AE99" s="31"/>
    </row>
    <row r="100" spans="2:31" x14ac:dyDescent="0.35">
      <c r="B100" s="32"/>
      <c r="AE100" s="31"/>
    </row>
    <row r="101" spans="2:31" x14ac:dyDescent="0.35">
      <c r="B101" s="32"/>
      <c r="AE101" s="31"/>
    </row>
    <row r="102" spans="2:31" x14ac:dyDescent="0.35">
      <c r="B102" s="32"/>
      <c r="AE102" s="31"/>
    </row>
    <row r="103" spans="2:31" x14ac:dyDescent="0.35">
      <c r="B103" s="32"/>
      <c r="AE103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F2CCE-4E5B-4C27-AB01-D24DE24BA4BF}">
  <sheetPr codeName="Sheet2"/>
  <dimension ref="A1:K20"/>
  <sheetViews>
    <sheetView topLeftCell="B1" workbookViewId="0">
      <selection activeCell="D1" sqref="D1:D2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26.81640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</cols>
  <sheetData>
    <row r="1" spans="1:11" x14ac:dyDescent="0.35">
      <c r="D1" t="s">
        <v>39</v>
      </c>
      <c r="E1" cm="1">
        <f t="array" ref="E1">_xlfn.CHOOSEROWS(Snowflake_Data!E:E,2)</f>
        <v>0</v>
      </c>
      <c r="F1" t="s">
        <v>41</v>
      </c>
      <c r="G1" t="e" cm="1">
        <f t="array" ref="G1">_xlfn.XLOOKUP(1,(UPPER(Snowflake_Data!C:C)="QUALIFIED TIER LEVEL")*(UPPER(Snowflake_Data!H:H)="SUMMARY")*(Snowflake_Data!I:I=B2),Snowflake_Data!AA:AA)</f>
        <v>#N/A</v>
      </c>
    </row>
    <row r="2" spans="1:11" x14ac:dyDescent="0.35">
      <c r="A2" s="1" t="s">
        <v>8</v>
      </c>
      <c r="B2" t="s">
        <v>53</v>
      </c>
      <c r="D2" t="s">
        <v>40</v>
      </c>
      <c r="E2" t="e" cm="1">
        <f t="array" ref="E2">_xlfn.XLOOKUP(1,(UPPER(Snowflake_Data!C:C)="QUALIFIED TIER LEVEL")*(UPPER(Snowflake_Data!H:H)="SUMMARY")*(Snowflake_Data!I:I=B2),Snowflake_Data!AD:AD)</f>
        <v>#N/A</v>
      </c>
      <c r="F2" t="s">
        <v>51</v>
      </c>
      <c r="G2" s="4">
        <f>SUMIFS(Snowflake_Data!V:V,Snowflake_Data!C:C,"=ANNUAL PRODUCT SALES",Snowflake_Data!AH:AH,TRUE,Snowflake_Data!J:J,"=MINIMUM PRODUCT TIER",Snowflake_Data!I:I,TCPP_SCORECARD_SUMMARY!B2)</f>
        <v>0</v>
      </c>
    </row>
    <row r="3" spans="1:11" x14ac:dyDescent="0.35">
      <c r="A3" s="1" t="s">
        <v>50</v>
      </c>
      <c r="B3" t="s">
        <v>49</v>
      </c>
    </row>
    <row r="5" spans="1:11" x14ac:dyDescent="0.35">
      <c r="A5" s="1" t="s">
        <v>1</v>
      </c>
      <c r="B5" s="1" t="s">
        <v>2</v>
      </c>
      <c r="C5" s="1" t="s">
        <v>38</v>
      </c>
      <c r="D5" s="1" t="s">
        <v>9</v>
      </c>
      <c r="E5" s="1" t="s">
        <v>25</v>
      </c>
      <c r="F5" t="s">
        <v>34</v>
      </c>
      <c r="G5" t="s">
        <v>35</v>
      </c>
      <c r="H5" t="s">
        <v>36</v>
      </c>
      <c r="I5" t="s">
        <v>37</v>
      </c>
      <c r="J5" t="s">
        <v>31</v>
      </c>
      <c r="K5" t="s">
        <v>32</v>
      </c>
    </row>
    <row r="6" spans="1:11" x14ac:dyDescent="0.35">
      <c r="A6" t="s">
        <v>58</v>
      </c>
      <c r="B6" t="s">
        <v>56</v>
      </c>
      <c r="C6" t="s">
        <v>118</v>
      </c>
      <c r="D6" t="s">
        <v>59</v>
      </c>
      <c r="E6" t="s">
        <v>54</v>
      </c>
      <c r="F6">
        <v>1</v>
      </c>
      <c r="H6" s="5"/>
      <c r="I6" s="5"/>
      <c r="J6" s="2">
        <v>750000</v>
      </c>
      <c r="K6" s="2">
        <v>1601955.53</v>
      </c>
    </row>
    <row r="7" spans="1:11" x14ac:dyDescent="0.35">
      <c r="A7" t="s">
        <v>70</v>
      </c>
      <c r="B7" t="s">
        <v>62</v>
      </c>
      <c r="C7" t="s">
        <v>119</v>
      </c>
      <c r="D7" t="s">
        <v>63</v>
      </c>
      <c r="E7" t="s">
        <v>60</v>
      </c>
      <c r="F7">
        <v>0</v>
      </c>
      <c r="H7" s="5">
        <v>3.4000000000000002E-2</v>
      </c>
      <c r="I7" s="5">
        <v>-0.15849273429999999</v>
      </c>
      <c r="J7" s="2">
        <v>1161205.7647666701</v>
      </c>
      <c r="K7" s="2">
        <v>945032</v>
      </c>
    </row>
    <row r="8" spans="1:11" x14ac:dyDescent="0.35">
      <c r="A8" t="s">
        <v>79</v>
      </c>
      <c r="B8" t="s">
        <v>62</v>
      </c>
      <c r="C8" t="s">
        <v>119</v>
      </c>
      <c r="D8" t="s">
        <v>73</v>
      </c>
      <c r="E8" t="s">
        <v>60</v>
      </c>
      <c r="F8">
        <v>0</v>
      </c>
      <c r="H8" s="5">
        <v>4.3999999999999997E-2</v>
      </c>
      <c r="I8" s="5">
        <v>3.4630549599999998E-2</v>
      </c>
      <c r="J8" s="2">
        <v>636364.42668000003</v>
      </c>
      <c r="K8" s="2">
        <v>630653.32999999996</v>
      </c>
    </row>
    <row r="9" spans="1:11" x14ac:dyDescent="0.35">
      <c r="A9" t="s">
        <v>85</v>
      </c>
      <c r="B9" t="s">
        <v>62</v>
      </c>
      <c r="C9" t="s">
        <v>119</v>
      </c>
      <c r="D9" t="s">
        <v>82</v>
      </c>
      <c r="E9" t="s">
        <v>60</v>
      </c>
      <c r="F9">
        <v>0</v>
      </c>
      <c r="H9" s="5">
        <v>3.9E-2</v>
      </c>
      <c r="I9" s="5">
        <v>-0.48569430540000003</v>
      </c>
      <c r="J9" s="2">
        <v>53071.03944</v>
      </c>
      <c r="K9" s="2">
        <v>26270.2</v>
      </c>
    </row>
    <row r="10" spans="1:11" x14ac:dyDescent="0.35">
      <c r="A10" t="s">
        <v>89</v>
      </c>
      <c r="B10" t="s">
        <v>88</v>
      </c>
      <c r="C10" t="s">
        <v>88</v>
      </c>
      <c r="D10" t="s">
        <v>63</v>
      </c>
      <c r="E10" t="s">
        <v>54</v>
      </c>
      <c r="F10">
        <v>0</v>
      </c>
      <c r="G10">
        <v>1</v>
      </c>
      <c r="H10" s="5">
        <v>0.45</v>
      </c>
      <c r="I10" s="5">
        <v>0.46879174600000001</v>
      </c>
      <c r="J10" s="2"/>
      <c r="K10" s="2"/>
    </row>
    <row r="11" spans="1:11" x14ac:dyDescent="0.35">
      <c r="A11" t="s">
        <v>91</v>
      </c>
      <c r="B11" t="s">
        <v>88</v>
      </c>
      <c r="C11" t="s">
        <v>88</v>
      </c>
      <c r="D11" t="s">
        <v>77</v>
      </c>
      <c r="E11" t="s">
        <v>60</v>
      </c>
      <c r="F11">
        <v>0</v>
      </c>
      <c r="G11">
        <v>0</v>
      </c>
      <c r="H11" s="5">
        <v>0.05</v>
      </c>
      <c r="I11" s="5">
        <v>1.2864970099999999E-2</v>
      </c>
      <c r="J11" s="2"/>
      <c r="K11" s="2"/>
    </row>
    <row r="12" spans="1:11" x14ac:dyDescent="0.35">
      <c r="A12" t="s">
        <v>94</v>
      </c>
      <c r="B12" t="s">
        <v>88</v>
      </c>
      <c r="C12" t="s">
        <v>88</v>
      </c>
      <c r="D12" t="s">
        <v>76</v>
      </c>
      <c r="E12" t="s">
        <v>54</v>
      </c>
      <c r="F12">
        <v>0</v>
      </c>
      <c r="G12">
        <v>1</v>
      </c>
      <c r="H12" s="5">
        <v>0.05</v>
      </c>
      <c r="I12" s="5">
        <v>0.36470390660000002</v>
      </c>
      <c r="J12" s="2"/>
      <c r="K12" s="2"/>
    </row>
    <row r="13" spans="1:11" x14ac:dyDescent="0.35">
      <c r="A13" t="s">
        <v>97</v>
      </c>
      <c r="B13" t="s">
        <v>88</v>
      </c>
      <c r="C13" t="s">
        <v>88</v>
      </c>
      <c r="D13" t="s">
        <v>78</v>
      </c>
      <c r="E13" t="s">
        <v>60</v>
      </c>
      <c r="F13">
        <v>0</v>
      </c>
      <c r="G13">
        <v>0</v>
      </c>
      <c r="H13" s="5">
        <v>0.05</v>
      </c>
      <c r="I13" s="5">
        <v>1.470226205E-2</v>
      </c>
      <c r="J13" s="2"/>
      <c r="K13" s="2"/>
    </row>
    <row r="14" spans="1:11" x14ac:dyDescent="0.35">
      <c r="A14" t="s">
        <v>100</v>
      </c>
      <c r="B14" t="s">
        <v>88</v>
      </c>
      <c r="C14" t="s">
        <v>88</v>
      </c>
      <c r="D14" t="s">
        <v>82</v>
      </c>
      <c r="E14" t="s">
        <v>60</v>
      </c>
      <c r="F14">
        <v>0</v>
      </c>
      <c r="G14">
        <v>0</v>
      </c>
      <c r="H14" s="5">
        <v>0.05</v>
      </c>
      <c r="I14" s="5">
        <v>1.6398832240000001E-2</v>
      </c>
      <c r="J14" s="2"/>
      <c r="K14" s="2"/>
    </row>
    <row r="15" spans="1:11" x14ac:dyDescent="0.35">
      <c r="A15" t="s">
        <v>101</v>
      </c>
      <c r="B15" t="s">
        <v>88</v>
      </c>
      <c r="C15" t="s">
        <v>120</v>
      </c>
      <c r="D15" t="s">
        <v>102</v>
      </c>
      <c r="E15" t="s">
        <v>54</v>
      </c>
      <c r="F15">
        <v>1</v>
      </c>
      <c r="H15" s="5"/>
      <c r="I15" s="5"/>
      <c r="J15" s="2"/>
      <c r="K15" s="2"/>
    </row>
    <row r="16" spans="1:11" x14ac:dyDescent="0.35">
      <c r="A16" t="s">
        <v>104</v>
      </c>
      <c r="B16" t="s">
        <v>105</v>
      </c>
      <c r="C16" t="s">
        <v>121</v>
      </c>
      <c r="D16" t="s">
        <v>106</v>
      </c>
      <c r="E16" t="s">
        <v>54</v>
      </c>
      <c r="F16">
        <v>1</v>
      </c>
      <c r="H16" s="5">
        <v>0.5</v>
      </c>
      <c r="I16" s="5">
        <v>5.8999999999999997E-2</v>
      </c>
      <c r="J16" s="2"/>
      <c r="K16" s="2">
        <v>94352.26</v>
      </c>
    </row>
    <row r="17" spans="1:11" x14ac:dyDescent="0.35">
      <c r="A17" t="s">
        <v>107</v>
      </c>
      <c r="B17" t="s">
        <v>108</v>
      </c>
      <c r="C17" t="s">
        <v>108</v>
      </c>
      <c r="D17" t="s">
        <v>109</v>
      </c>
      <c r="E17" t="s">
        <v>54</v>
      </c>
      <c r="F17">
        <v>1</v>
      </c>
      <c r="H17" s="5">
        <v>0.04</v>
      </c>
      <c r="I17" s="5">
        <v>9.3985049629999998E-2</v>
      </c>
      <c r="J17" s="2"/>
      <c r="K17" s="2">
        <v>150559.87</v>
      </c>
    </row>
    <row r="18" spans="1:11" x14ac:dyDescent="0.35">
      <c r="A18" t="s">
        <v>110</v>
      </c>
      <c r="B18" t="s">
        <v>111</v>
      </c>
      <c r="C18" t="s">
        <v>122</v>
      </c>
      <c r="D18" t="s">
        <v>112</v>
      </c>
      <c r="E18" t="s">
        <v>54</v>
      </c>
      <c r="F18">
        <v>1</v>
      </c>
      <c r="H18" s="5"/>
      <c r="I18" s="5"/>
      <c r="J18" s="2"/>
      <c r="K18" s="2"/>
    </row>
    <row r="19" spans="1:11" x14ac:dyDescent="0.35">
      <c r="A19" t="s">
        <v>113</v>
      </c>
      <c r="B19" t="s">
        <v>114</v>
      </c>
      <c r="C19" t="s">
        <v>123</v>
      </c>
      <c r="D19" t="s">
        <v>33</v>
      </c>
      <c r="E19" t="s">
        <v>60</v>
      </c>
      <c r="F19">
        <v>0</v>
      </c>
      <c r="H19" s="5"/>
      <c r="I19" s="5"/>
      <c r="J19" s="2"/>
      <c r="K19" s="2"/>
    </row>
    <row r="20" spans="1:11" x14ac:dyDescent="0.35">
      <c r="A20" t="s">
        <v>115</v>
      </c>
      <c r="B20" t="s">
        <v>116</v>
      </c>
      <c r="C20" t="s">
        <v>124</v>
      </c>
      <c r="D20" t="s">
        <v>33</v>
      </c>
      <c r="E20" t="s">
        <v>54</v>
      </c>
      <c r="F20">
        <v>1</v>
      </c>
      <c r="H20" s="5"/>
      <c r="I20" s="5"/>
      <c r="J20" s="2"/>
      <c r="K2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1A5ED-752C-4CF3-AA7D-6BB19C37B53E}">
  <sheetPr codeName="Sheet3"/>
  <dimension ref="A1:Q41"/>
  <sheetViews>
    <sheetView workbookViewId="0">
      <selection activeCell="Q7" sqref="Q7:Q24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31.7265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  <col min="12" max="12" width="26.26953125" bestFit="1" customWidth="1"/>
    <col min="13" max="13" width="28.08984375" bestFit="1" customWidth="1"/>
    <col min="14" max="15" width="29.1796875" bestFit="1" customWidth="1"/>
    <col min="16" max="16" width="23.1796875" bestFit="1" customWidth="1"/>
    <col min="17" max="17" width="26.7265625" bestFit="1" customWidth="1"/>
    <col min="18" max="18" width="25.26953125" bestFit="1" customWidth="1"/>
  </cols>
  <sheetData>
    <row r="1" spans="1:17" x14ac:dyDescent="0.35">
      <c r="D1" t="s">
        <v>39</v>
      </c>
      <c r="E1" t="e">
        <f>Snowflake_Data!#REF!</f>
        <v>#REF!</v>
      </c>
      <c r="F1" t="s">
        <v>41</v>
      </c>
      <c r="G1" t="e" cm="1">
        <f t="array" ref="G1">_xlfn.XLOOKUP(1,(Snowflake_Data!C:C="Qualified Tier Level")*(Snowflake_Data!H:H=B1)*(Snowflake_Data!I:I=B2),Snowflake_Data!AA:AA)</f>
        <v>#N/A</v>
      </c>
    </row>
    <row r="2" spans="1:17" x14ac:dyDescent="0.35">
      <c r="D2" t="s">
        <v>40</v>
      </c>
      <c r="E2" t="e" cm="1">
        <f t="array" ref="E2">_xlfn.XLOOKUP(1,(Snowflake_Data!C:C="Qualified Tier Level")*(Snowflake_Data!H:H=B1)*(Snowflake_Data!I:I=B2),Snowflake_Data!AD:AD)</f>
        <v>#N/A</v>
      </c>
    </row>
    <row r="3" spans="1:17" x14ac:dyDescent="0.35">
      <c r="A3" s="1" t="s">
        <v>8</v>
      </c>
      <c r="B3" t="s">
        <v>53</v>
      </c>
    </row>
    <row r="4" spans="1:17" x14ac:dyDescent="0.35">
      <c r="A4" s="1" t="s">
        <v>48</v>
      </c>
      <c r="B4" t="s">
        <v>49</v>
      </c>
    </row>
    <row r="6" spans="1:17" x14ac:dyDescent="0.35">
      <c r="A6" s="1" t="s">
        <v>1</v>
      </c>
      <c r="B6" s="1" t="s">
        <v>2</v>
      </c>
      <c r="C6" s="1" t="s">
        <v>38</v>
      </c>
      <c r="D6" s="1" t="s">
        <v>9</v>
      </c>
      <c r="E6" s="1" t="s">
        <v>10</v>
      </c>
      <c r="F6" t="s">
        <v>34</v>
      </c>
      <c r="G6" t="s">
        <v>35</v>
      </c>
      <c r="H6" t="s">
        <v>36</v>
      </c>
      <c r="I6" t="s">
        <v>37</v>
      </c>
      <c r="J6" t="s">
        <v>31</v>
      </c>
      <c r="K6" t="s">
        <v>32</v>
      </c>
      <c r="L6" t="s">
        <v>42</v>
      </c>
      <c r="M6" t="s">
        <v>43</v>
      </c>
      <c r="N6" t="s">
        <v>44</v>
      </c>
      <c r="O6" t="s">
        <v>45</v>
      </c>
      <c r="P6" t="s">
        <v>46</v>
      </c>
      <c r="Q6" t="s">
        <v>47</v>
      </c>
    </row>
    <row r="7" spans="1:17" x14ac:dyDescent="0.35">
      <c r="A7" t="s">
        <v>55</v>
      </c>
      <c r="B7" t="s">
        <v>56</v>
      </c>
      <c r="C7" t="s">
        <v>117</v>
      </c>
      <c r="D7" t="s">
        <v>57</v>
      </c>
      <c r="E7" t="s">
        <v>33</v>
      </c>
      <c r="H7" s="5"/>
      <c r="I7" s="5"/>
      <c r="J7" s="2">
        <v>100000</v>
      </c>
      <c r="K7" s="2">
        <v>1601955.53</v>
      </c>
      <c r="L7" s="2">
        <v>0</v>
      </c>
      <c r="M7" s="2"/>
      <c r="N7" s="2"/>
      <c r="O7" s="2"/>
      <c r="P7" s="2"/>
      <c r="Q7" s="5">
        <v>1</v>
      </c>
    </row>
    <row r="8" spans="1:17" x14ac:dyDescent="0.35">
      <c r="A8" t="s">
        <v>58</v>
      </c>
      <c r="B8" t="s">
        <v>56</v>
      </c>
      <c r="C8" t="s">
        <v>118</v>
      </c>
      <c r="D8" t="s">
        <v>59</v>
      </c>
      <c r="E8" t="s">
        <v>33</v>
      </c>
      <c r="F8">
        <v>1</v>
      </c>
      <c r="H8" s="5"/>
      <c r="I8" s="5"/>
      <c r="J8" s="2">
        <v>750000</v>
      </c>
      <c r="K8" s="2">
        <v>1601955.53</v>
      </c>
      <c r="L8" s="2">
        <v>0</v>
      </c>
      <c r="M8" s="2"/>
      <c r="N8" s="2"/>
      <c r="O8" s="2"/>
      <c r="P8" s="2"/>
      <c r="Q8" s="5">
        <v>1</v>
      </c>
    </row>
    <row r="9" spans="1:17" x14ac:dyDescent="0.35">
      <c r="A9" t="s">
        <v>61</v>
      </c>
      <c r="B9" t="s">
        <v>62</v>
      </c>
      <c r="C9" t="s">
        <v>119</v>
      </c>
      <c r="D9" t="s">
        <v>63</v>
      </c>
      <c r="E9" t="s">
        <v>64</v>
      </c>
      <c r="G9">
        <v>0</v>
      </c>
      <c r="H9" s="5">
        <v>3.4000000000000002E-2</v>
      </c>
      <c r="I9" s="5">
        <v>-0.76984576329999999</v>
      </c>
      <c r="J9" s="2">
        <v>4778.8205666670001</v>
      </c>
      <c r="K9" s="2">
        <v>1063.7</v>
      </c>
      <c r="L9" s="2">
        <v>3715.1205666669998</v>
      </c>
      <c r="M9" s="2">
        <v>4963.83</v>
      </c>
      <c r="N9" s="2">
        <v>6840.68</v>
      </c>
      <c r="O9" s="2">
        <v>2060.54</v>
      </c>
      <c r="P9" s="2">
        <v>4621.6833333329996</v>
      </c>
      <c r="Q9" s="5">
        <v>0.22258630239999999</v>
      </c>
    </row>
    <row r="10" spans="1:17" x14ac:dyDescent="0.35">
      <c r="A10" t="s">
        <v>61</v>
      </c>
      <c r="B10" t="s">
        <v>62</v>
      </c>
      <c r="C10" t="s">
        <v>119</v>
      </c>
      <c r="D10" t="s">
        <v>63</v>
      </c>
      <c r="E10" t="s">
        <v>65</v>
      </c>
      <c r="G10">
        <v>0</v>
      </c>
      <c r="H10" s="5">
        <v>3.4000000000000002E-2</v>
      </c>
      <c r="I10" s="5">
        <v>-0.15598036509999999</v>
      </c>
      <c r="J10" s="2">
        <v>98627.865966666999</v>
      </c>
      <c r="K10" s="2">
        <v>80506.63</v>
      </c>
      <c r="L10" s="2">
        <v>18121.235966667002</v>
      </c>
      <c r="M10" s="2">
        <v>91287.35</v>
      </c>
      <c r="N10" s="2">
        <v>103178.96</v>
      </c>
      <c r="O10" s="2">
        <v>91688.04</v>
      </c>
      <c r="P10" s="2">
        <v>95384.783333333005</v>
      </c>
      <c r="Q10" s="5">
        <v>0.81626657140000003</v>
      </c>
    </row>
    <row r="11" spans="1:17" x14ac:dyDescent="0.35">
      <c r="A11" t="s">
        <v>61</v>
      </c>
      <c r="B11" t="s">
        <v>62</v>
      </c>
      <c r="C11" t="s">
        <v>119</v>
      </c>
      <c r="D11" t="s">
        <v>63</v>
      </c>
      <c r="E11" t="s">
        <v>66</v>
      </c>
      <c r="G11">
        <v>0</v>
      </c>
      <c r="H11" s="5">
        <v>3.4000000000000002E-2</v>
      </c>
      <c r="I11" s="5">
        <v>-0.2278554867</v>
      </c>
      <c r="J11" s="2">
        <v>362851.62466666702</v>
      </c>
      <c r="K11" s="2">
        <v>270961.21000000002</v>
      </c>
      <c r="L11" s="2">
        <v>91890.414666666999</v>
      </c>
      <c r="M11" s="2">
        <v>342726.06</v>
      </c>
      <c r="N11" s="2">
        <v>394900.82</v>
      </c>
      <c r="O11" s="2">
        <v>315134.12</v>
      </c>
      <c r="P11" s="2">
        <v>350920.33333333302</v>
      </c>
      <c r="Q11" s="5">
        <v>0.74675484849999996</v>
      </c>
    </row>
    <row r="12" spans="1:17" x14ac:dyDescent="0.35">
      <c r="A12" t="s">
        <v>61</v>
      </c>
      <c r="B12" t="s">
        <v>62</v>
      </c>
      <c r="C12" t="s">
        <v>119</v>
      </c>
      <c r="D12" t="s">
        <v>63</v>
      </c>
      <c r="E12" t="s">
        <v>67</v>
      </c>
      <c r="G12">
        <v>0</v>
      </c>
      <c r="H12" s="5">
        <v>3.4000000000000002E-2</v>
      </c>
      <c r="I12" s="5">
        <v>-8.7801516310000004E-3</v>
      </c>
      <c r="J12" s="2">
        <v>328124.06601333298</v>
      </c>
      <c r="K12" s="2">
        <v>314548.44</v>
      </c>
      <c r="L12" s="2">
        <v>13575.626013333</v>
      </c>
      <c r="M12" s="2">
        <v>316465.14</v>
      </c>
      <c r="N12" s="2">
        <v>331147.23</v>
      </c>
      <c r="O12" s="2">
        <v>304391.69</v>
      </c>
      <c r="P12" s="2">
        <v>317334.686666667</v>
      </c>
      <c r="Q12" s="5">
        <v>0.95862654579999995</v>
      </c>
    </row>
    <row r="13" spans="1:17" x14ac:dyDescent="0.35">
      <c r="A13" t="s">
        <v>61</v>
      </c>
      <c r="B13" t="s">
        <v>62</v>
      </c>
      <c r="C13" t="s">
        <v>119</v>
      </c>
      <c r="D13" t="s">
        <v>63</v>
      </c>
      <c r="E13" t="s">
        <v>68</v>
      </c>
      <c r="G13">
        <v>0</v>
      </c>
      <c r="H13" s="5">
        <v>3.4000000000000002E-2</v>
      </c>
      <c r="I13" s="5">
        <v>-0.1835506912</v>
      </c>
      <c r="J13" s="2">
        <v>209565.97068</v>
      </c>
      <c r="K13" s="2">
        <v>165473.88</v>
      </c>
      <c r="L13" s="2">
        <v>44092.090680000001</v>
      </c>
      <c r="M13" s="2">
        <v>211099.69</v>
      </c>
      <c r="N13" s="2">
        <v>213862.18</v>
      </c>
      <c r="O13" s="2">
        <v>183063.19</v>
      </c>
      <c r="P13" s="2">
        <v>202675.02</v>
      </c>
      <c r="Q13" s="5">
        <v>0.78960281320000003</v>
      </c>
    </row>
    <row r="14" spans="1:17" x14ac:dyDescent="0.35">
      <c r="A14" t="s">
        <v>61</v>
      </c>
      <c r="B14" t="s">
        <v>62</v>
      </c>
      <c r="C14" t="s">
        <v>119</v>
      </c>
      <c r="D14" t="s">
        <v>63</v>
      </c>
      <c r="E14" t="s">
        <v>69</v>
      </c>
      <c r="G14">
        <v>0</v>
      </c>
      <c r="H14" s="5">
        <v>3.4000000000000002E-2</v>
      </c>
      <c r="I14" s="5">
        <v>-0.26043299530000003</v>
      </c>
      <c r="J14" s="2">
        <v>157257.41687333299</v>
      </c>
      <c r="K14" s="2">
        <v>112478.14</v>
      </c>
      <c r="L14" s="2">
        <v>44779.276873333001</v>
      </c>
      <c r="M14" s="2">
        <v>120372.1</v>
      </c>
      <c r="N14" s="2">
        <v>132132.54999999999</v>
      </c>
      <c r="O14" s="2">
        <v>203754.78</v>
      </c>
      <c r="P14" s="2">
        <v>152086.476666667</v>
      </c>
      <c r="Q14" s="5">
        <v>0.71524855379999996</v>
      </c>
    </row>
    <row r="15" spans="1:17" x14ac:dyDescent="0.35">
      <c r="A15" t="s">
        <v>70</v>
      </c>
      <c r="B15" t="s">
        <v>62</v>
      </c>
      <c r="C15" t="s">
        <v>119</v>
      </c>
      <c r="D15" t="s">
        <v>63</v>
      </c>
      <c r="E15" t="s">
        <v>71</v>
      </c>
      <c r="F15">
        <v>0</v>
      </c>
      <c r="H15" s="5">
        <v>3.4000000000000002E-2</v>
      </c>
      <c r="I15" s="5">
        <v>-0.15849273429999999</v>
      </c>
      <c r="J15" s="2">
        <v>1161205.7647666701</v>
      </c>
      <c r="K15" s="2">
        <v>945032</v>
      </c>
      <c r="L15" s="2">
        <v>216173.76476666701</v>
      </c>
      <c r="M15" s="2">
        <v>1086914.17</v>
      </c>
      <c r="N15" s="2">
        <v>1182062.42</v>
      </c>
      <c r="O15" s="2">
        <v>1100092.3600000001</v>
      </c>
      <c r="P15" s="2">
        <v>1123022.9833333299</v>
      </c>
      <c r="Q15" s="5">
        <v>0.81383681399999996</v>
      </c>
    </row>
    <row r="16" spans="1:17" x14ac:dyDescent="0.35">
      <c r="A16" t="s">
        <v>72</v>
      </c>
      <c r="B16" t="s">
        <v>62</v>
      </c>
      <c r="C16" t="s">
        <v>119</v>
      </c>
      <c r="D16" t="s">
        <v>73</v>
      </c>
      <c r="E16" t="s">
        <v>74</v>
      </c>
      <c r="G16">
        <v>0</v>
      </c>
      <c r="H16" s="5">
        <v>4.3999999999999997E-2</v>
      </c>
      <c r="I16" s="5">
        <v>-0.20405892859999999</v>
      </c>
      <c r="J16" s="2">
        <v>2683.9082400000002</v>
      </c>
      <c r="K16" s="2">
        <v>2046.2</v>
      </c>
      <c r="L16" s="2">
        <v>637.70824000000005</v>
      </c>
      <c r="M16" s="2">
        <v>7290</v>
      </c>
      <c r="N16" s="2">
        <v>413.28</v>
      </c>
      <c r="O16" s="2">
        <v>9.1</v>
      </c>
      <c r="P16" s="2">
        <v>2570.7933333330002</v>
      </c>
      <c r="Q16" s="5">
        <v>0.76239566219999999</v>
      </c>
    </row>
    <row r="17" spans="1:17" x14ac:dyDescent="0.35">
      <c r="A17" t="s">
        <v>72</v>
      </c>
      <c r="B17" t="s">
        <v>62</v>
      </c>
      <c r="C17" t="s">
        <v>119</v>
      </c>
      <c r="D17" t="s">
        <v>73</v>
      </c>
      <c r="E17" t="s">
        <v>75</v>
      </c>
      <c r="G17">
        <v>0</v>
      </c>
      <c r="H17" s="5">
        <v>4.3999999999999997E-2</v>
      </c>
      <c r="I17" s="5">
        <v>-0.98468596610000003</v>
      </c>
      <c r="J17" s="2">
        <v>14057.90544</v>
      </c>
      <c r="K17" s="2">
        <v>206.21</v>
      </c>
      <c r="L17" s="2">
        <v>13851.69544</v>
      </c>
      <c r="M17" s="2">
        <v>5792.03</v>
      </c>
      <c r="N17" s="2">
        <v>20386.490000000002</v>
      </c>
      <c r="O17" s="2">
        <v>14217.76</v>
      </c>
      <c r="P17" s="2">
        <v>13465.426666666999</v>
      </c>
      <c r="Q17" s="5">
        <v>1.4668614809999999E-2</v>
      </c>
    </row>
    <row r="18" spans="1:17" x14ac:dyDescent="0.35">
      <c r="A18" t="s">
        <v>72</v>
      </c>
      <c r="B18" t="s">
        <v>62</v>
      </c>
      <c r="C18" t="s">
        <v>119</v>
      </c>
      <c r="D18" t="s">
        <v>73</v>
      </c>
      <c r="E18" t="s">
        <v>76</v>
      </c>
      <c r="G18">
        <v>1</v>
      </c>
      <c r="H18" s="5">
        <v>4.3999999999999997E-2</v>
      </c>
      <c r="I18" s="5">
        <v>0.1080554842</v>
      </c>
      <c r="J18" s="2">
        <v>550465.19244000001</v>
      </c>
      <c r="K18" s="2">
        <v>584239.43999999994</v>
      </c>
      <c r="L18" s="2">
        <v>0</v>
      </c>
      <c r="M18" s="2">
        <v>602600.48</v>
      </c>
      <c r="N18" s="2">
        <v>494631.04</v>
      </c>
      <c r="O18" s="2">
        <v>484565.01</v>
      </c>
      <c r="P18" s="2">
        <v>527265.51</v>
      </c>
      <c r="Q18" s="5">
        <v>1</v>
      </c>
    </row>
    <row r="19" spans="1:17" x14ac:dyDescent="0.35">
      <c r="A19" t="s">
        <v>72</v>
      </c>
      <c r="B19" t="s">
        <v>62</v>
      </c>
      <c r="C19" t="s">
        <v>119</v>
      </c>
      <c r="D19" t="s">
        <v>73</v>
      </c>
      <c r="E19" t="s">
        <v>77</v>
      </c>
      <c r="G19">
        <v>0</v>
      </c>
      <c r="H19" s="5">
        <v>4.3999999999999997E-2</v>
      </c>
      <c r="I19" s="5">
        <v>-0.28348371979999998</v>
      </c>
      <c r="J19" s="2">
        <v>30028.502400000001</v>
      </c>
      <c r="K19" s="2">
        <v>20609.11</v>
      </c>
      <c r="L19" s="2">
        <v>9419.3924000000006</v>
      </c>
      <c r="M19" s="2">
        <v>36473.03</v>
      </c>
      <c r="N19" s="2">
        <v>27785.29</v>
      </c>
      <c r="O19" s="2">
        <v>22030.48</v>
      </c>
      <c r="P19" s="2">
        <v>28762.933333333</v>
      </c>
      <c r="Q19" s="5">
        <v>0.68631827609999996</v>
      </c>
    </row>
    <row r="20" spans="1:17" x14ac:dyDescent="0.35">
      <c r="A20" t="s">
        <v>72</v>
      </c>
      <c r="B20" t="s">
        <v>62</v>
      </c>
      <c r="C20" t="s">
        <v>119</v>
      </c>
      <c r="D20" t="s">
        <v>73</v>
      </c>
      <c r="E20" t="s">
        <v>78</v>
      </c>
      <c r="G20">
        <v>0</v>
      </c>
      <c r="H20" s="5">
        <v>4.3999999999999997E-2</v>
      </c>
      <c r="I20" s="5">
        <v>-0.37159841269999999</v>
      </c>
      <c r="J20" s="2">
        <v>39128.918160000001</v>
      </c>
      <c r="K20" s="2">
        <v>23552.37</v>
      </c>
      <c r="L20" s="2">
        <v>15576.54816</v>
      </c>
      <c r="M20" s="2">
        <v>30545.25</v>
      </c>
      <c r="N20" s="2">
        <v>27861.06</v>
      </c>
      <c r="O20" s="2">
        <v>54033.11</v>
      </c>
      <c r="P20" s="2">
        <v>37479.806666666998</v>
      </c>
      <c r="Q20" s="5">
        <v>0.60191722920000001</v>
      </c>
    </row>
    <row r="21" spans="1:17" x14ac:dyDescent="0.35">
      <c r="A21" t="s">
        <v>79</v>
      </c>
      <c r="B21" t="s">
        <v>62</v>
      </c>
      <c r="C21" t="s">
        <v>119</v>
      </c>
      <c r="D21" t="s">
        <v>73</v>
      </c>
      <c r="E21" t="s">
        <v>80</v>
      </c>
      <c r="F21">
        <v>0</v>
      </c>
      <c r="H21" s="5">
        <v>4.3999999999999997E-2</v>
      </c>
      <c r="I21" s="5">
        <v>3.4630549599999998E-2</v>
      </c>
      <c r="J21" s="2">
        <v>636364.42668000003</v>
      </c>
      <c r="K21" s="2">
        <v>630653.32999999996</v>
      </c>
      <c r="L21" s="2">
        <v>5711.0966799999997</v>
      </c>
      <c r="M21" s="2">
        <v>682700.79</v>
      </c>
      <c r="N21" s="2">
        <v>571077.16</v>
      </c>
      <c r="O21" s="2">
        <v>574855.46</v>
      </c>
      <c r="P21" s="2">
        <v>609544.47</v>
      </c>
      <c r="Q21" s="5">
        <v>0.99102543060000003</v>
      </c>
    </row>
    <row r="22" spans="1:17" x14ac:dyDescent="0.35">
      <c r="A22" t="s">
        <v>81</v>
      </c>
      <c r="B22" t="s">
        <v>62</v>
      </c>
      <c r="C22" t="s">
        <v>119</v>
      </c>
      <c r="D22" t="s">
        <v>82</v>
      </c>
      <c r="E22" t="s">
        <v>83</v>
      </c>
      <c r="G22">
        <v>0</v>
      </c>
      <c r="H22" s="5">
        <v>3.9E-2</v>
      </c>
      <c r="I22" s="5">
        <v>-0.49811216180000001</v>
      </c>
      <c r="J22" s="2">
        <v>2162.017003333</v>
      </c>
      <c r="K22" s="2">
        <v>1044.3599999999999</v>
      </c>
      <c r="L22" s="2">
        <v>1117.6570033329999</v>
      </c>
      <c r="M22" s="2">
        <v>1042.1600000000001</v>
      </c>
      <c r="N22" s="2">
        <v>5200.43</v>
      </c>
      <c r="O22" s="2">
        <v>0</v>
      </c>
      <c r="P22" s="2">
        <v>2080.8633333329999</v>
      </c>
      <c r="Q22" s="5">
        <v>0.48304892999999999</v>
      </c>
    </row>
    <row r="23" spans="1:17" x14ac:dyDescent="0.35">
      <c r="A23" t="s">
        <v>81</v>
      </c>
      <c r="B23" t="s">
        <v>62</v>
      </c>
      <c r="C23" t="s">
        <v>119</v>
      </c>
      <c r="D23" t="s">
        <v>82</v>
      </c>
      <c r="E23" t="s">
        <v>84</v>
      </c>
      <c r="G23">
        <v>0</v>
      </c>
      <c r="H23" s="5">
        <v>3.9E-2</v>
      </c>
      <c r="I23" s="5">
        <v>-0.4851669408</v>
      </c>
      <c r="J23" s="2">
        <v>50909.022436667001</v>
      </c>
      <c r="K23" s="2">
        <v>25225.84</v>
      </c>
      <c r="L23" s="2">
        <v>25683.182436667001</v>
      </c>
      <c r="M23" s="2">
        <v>35573.230000000003</v>
      </c>
      <c r="N23" s="2">
        <v>73568.240000000005</v>
      </c>
      <c r="O23" s="2">
        <v>37852.82</v>
      </c>
      <c r="P23" s="2">
        <v>48998.096666666999</v>
      </c>
      <c r="Q23" s="5">
        <v>0.49550823789999998</v>
      </c>
    </row>
    <row r="24" spans="1:17" x14ac:dyDescent="0.35">
      <c r="A24" t="s">
        <v>85</v>
      </c>
      <c r="B24" t="s">
        <v>62</v>
      </c>
      <c r="C24" t="s">
        <v>119</v>
      </c>
      <c r="D24" t="s">
        <v>82</v>
      </c>
      <c r="E24" t="s">
        <v>86</v>
      </c>
      <c r="F24">
        <v>0</v>
      </c>
      <c r="H24" s="5">
        <v>3.9E-2</v>
      </c>
      <c r="I24" s="5">
        <v>-0.48569430540000003</v>
      </c>
      <c r="J24" s="2">
        <v>53071.03944</v>
      </c>
      <c r="K24" s="2">
        <v>26270.2</v>
      </c>
      <c r="L24" s="2">
        <v>26800.83944</v>
      </c>
      <c r="M24" s="2">
        <v>36615.39</v>
      </c>
      <c r="N24" s="2">
        <v>78768.67</v>
      </c>
      <c r="O24" s="2">
        <v>37852.82</v>
      </c>
      <c r="P24" s="2">
        <v>51078.96</v>
      </c>
      <c r="Q24" s="5">
        <v>0.49500066850000002</v>
      </c>
    </row>
    <row r="25" spans="1:17" x14ac:dyDescent="0.35">
      <c r="A25" t="s">
        <v>87</v>
      </c>
      <c r="B25" t="s">
        <v>88</v>
      </c>
      <c r="C25" t="s">
        <v>88</v>
      </c>
      <c r="D25" t="s">
        <v>63</v>
      </c>
      <c r="E25" t="s">
        <v>66</v>
      </c>
      <c r="G25">
        <v>0</v>
      </c>
      <c r="H25" s="5">
        <v>0.45</v>
      </c>
      <c r="I25" s="5">
        <v>0.16914402740000001</v>
      </c>
      <c r="J25" s="2"/>
      <c r="K25" s="2">
        <v>270961.21000000002</v>
      </c>
      <c r="L25" s="2"/>
      <c r="M25" s="2"/>
      <c r="N25" s="2"/>
      <c r="O25" s="2"/>
      <c r="P25" s="2"/>
      <c r="Q25" s="5"/>
    </row>
    <row r="26" spans="1:17" x14ac:dyDescent="0.35">
      <c r="A26" t="s">
        <v>87</v>
      </c>
      <c r="B26" t="s">
        <v>88</v>
      </c>
      <c r="C26" t="s">
        <v>88</v>
      </c>
      <c r="D26" t="s">
        <v>63</v>
      </c>
      <c r="E26" t="s">
        <v>67</v>
      </c>
      <c r="G26">
        <v>0</v>
      </c>
      <c r="H26" s="5">
        <v>0.45</v>
      </c>
      <c r="I26" s="5">
        <v>0.1963527914</v>
      </c>
      <c r="J26" s="2"/>
      <c r="K26" s="2">
        <v>314548.44</v>
      </c>
      <c r="L26" s="2"/>
      <c r="M26" s="2"/>
      <c r="N26" s="2"/>
      <c r="O26" s="2"/>
      <c r="P26" s="2"/>
      <c r="Q26" s="5"/>
    </row>
    <row r="27" spans="1:17" x14ac:dyDescent="0.35">
      <c r="A27" t="s">
        <v>87</v>
      </c>
      <c r="B27" t="s">
        <v>88</v>
      </c>
      <c r="C27" t="s">
        <v>88</v>
      </c>
      <c r="D27" t="s">
        <v>63</v>
      </c>
      <c r="E27" t="s">
        <v>68</v>
      </c>
      <c r="G27">
        <v>0</v>
      </c>
      <c r="H27" s="5">
        <v>0.45</v>
      </c>
      <c r="I27" s="5">
        <v>0.10329492730000001</v>
      </c>
      <c r="J27" s="2"/>
      <c r="K27" s="2">
        <v>165473.88</v>
      </c>
      <c r="L27" s="2"/>
      <c r="M27" s="2"/>
      <c r="N27" s="2"/>
      <c r="O27" s="2"/>
      <c r="P27" s="2"/>
      <c r="Q27" s="5"/>
    </row>
    <row r="28" spans="1:17" x14ac:dyDescent="0.35">
      <c r="A28" t="s">
        <v>89</v>
      </c>
      <c r="B28" t="s">
        <v>88</v>
      </c>
      <c r="C28" t="s">
        <v>88</v>
      </c>
      <c r="D28" t="s">
        <v>63</v>
      </c>
      <c r="E28" t="s">
        <v>71</v>
      </c>
      <c r="F28">
        <v>0</v>
      </c>
      <c r="G28">
        <v>1</v>
      </c>
      <c r="H28" s="5">
        <v>0.45</v>
      </c>
      <c r="I28" s="5">
        <v>0.46879174600000001</v>
      </c>
      <c r="J28" s="2"/>
      <c r="K28" s="2"/>
      <c r="L28" s="2"/>
      <c r="M28" s="2"/>
      <c r="N28" s="2"/>
      <c r="O28" s="2"/>
      <c r="P28" s="2"/>
      <c r="Q28" s="5"/>
    </row>
    <row r="29" spans="1:17" x14ac:dyDescent="0.35">
      <c r="A29" t="s">
        <v>90</v>
      </c>
      <c r="B29" t="s">
        <v>88</v>
      </c>
      <c r="C29" t="s">
        <v>88</v>
      </c>
      <c r="D29" t="s">
        <v>77</v>
      </c>
      <c r="E29" t="s">
        <v>77</v>
      </c>
      <c r="G29">
        <v>0</v>
      </c>
      <c r="H29" s="5">
        <v>0.05</v>
      </c>
      <c r="I29" s="5">
        <v>1.2864970099999999E-2</v>
      </c>
      <c r="J29" s="2"/>
      <c r="K29" s="2">
        <v>20609.11</v>
      </c>
      <c r="L29" s="2"/>
      <c r="M29" s="2"/>
      <c r="N29" s="2"/>
      <c r="O29" s="2"/>
      <c r="P29" s="2"/>
      <c r="Q29" s="5"/>
    </row>
    <row r="30" spans="1:17" x14ac:dyDescent="0.35">
      <c r="A30" t="s">
        <v>91</v>
      </c>
      <c r="B30" t="s">
        <v>88</v>
      </c>
      <c r="C30" t="s">
        <v>88</v>
      </c>
      <c r="D30" t="s">
        <v>77</v>
      </c>
      <c r="E30" t="s">
        <v>92</v>
      </c>
      <c r="F30">
        <v>0</v>
      </c>
      <c r="G30">
        <v>0</v>
      </c>
      <c r="H30" s="5">
        <v>0.05</v>
      </c>
      <c r="I30" s="5">
        <v>1.2864970099999999E-2</v>
      </c>
      <c r="J30" s="2"/>
      <c r="K30" s="2"/>
      <c r="L30" s="2"/>
      <c r="M30" s="2"/>
      <c r="N30" s="2"/>
      <c r="O30" s="2"/>
      <c r="P30" s="2"/>
      <c r="Q30" s="5"/>
    </row>
    <row r="31" spans="1:17" x14ac:dyDescent="0.35">
      <c r="A31" t="s">
        <v>93</v>
      </c>
      <c r="B31" t="s">
        <v>88</v>
      </c>
      <c r="C31" t="s">
        <v>88</v>
      </c>
      <c r="D31" t="s">
        <v>76</v>
      </c>
      <c r="E31" t="s">
        <v>76</v>
      </c>
      <c r="G31">
        <v>1</v>
      </c>
      <c r="H31" s="5">
        <v>0.05</v>
      </c>
      <c r="I31" s="5">
        <v>0.36470390660000002</v>
      </c>
      <c r="J31" s="2"/>
      <c r="K31" s="2">
        <v>584239.43999999994</v>
      </c>
      <c r="L31" s="2"/>
      <c r="M31" s="2"/>
      <c r="N31" s="2"/>
      <c r="O31" s="2"/>
      <c r="P31" s="2"/>
      <c r="Q31" s="5"/>
    </row>
    <row r="32" spans="1:17" x14ac:dyDescent="0.35">
      <c r="A32" t="s">
        <v>94</v>
      </c>
      <c r="B32" t="s">
        <v>88</v>
      </c>
      <c r="C32" t="s">
        <v>88</v>
      </c>
      <c r="D32" t="s">
        <v>76</v>
      </c>
      <c r="E32" t="s">
        <v>95</v>
      </c>
      <c r="F32">
        <v>0</v>
      </c>
      <c r="G32">
        <v>1</v>
      </c>
      <c r="H32" s="5">
        <v>0.05</v>
      </c>
      <c r="I32" s="5">
        <v>0.36470390660000002</v>
      </c>
      <c r="J32" s="2"/>
      <c r="K32" s="2"/>
      <c r="L32" s="2"/>
      <c r="M32" s="2"/>
      <c r="N32" s="2"/>
      <c r="O32" s="2"/>
      <c r="P32" s="2"/>
      <c r="Q32" s="5"/>
    </row>
    <row r="33" spans="1:17" x14ac:dyDescent="0.35">
      <c r="A33" t="s">
        <v>96</v>
      </c>
      <c r="B33" t="s">
        <v>88</v>
      </c>
      <c r="C33" t="s">
        <v>88</v>
      </c>
      <c r="D33" t="s">
        <v>78</v>
      </c>
      <c r="E33" t="s">
        <v>78</v>
      </c>
      <c r="G33">
        <v>0</v>
      </c>
      <c r="H33" s="5">
        <v>0.05</v>
      </c>
      <c r="I33" s="5">
        <v>1.470226205E-2</v>
      </c>
      <c r="J33" s="2"/>
      <c r="K33" s="2">
        <v>23552.37</v>
      </c>
      <c r="L33" s="2"/>
      <c r="M33" s="2"/>
      <c r="N33" s="2"/>
      <c r="O33" s="2"/>
      <c r="P33" s="2"/>
      <c r="Q33" s="5"/>
    </row>
    <row r="34" spans="1:17" x14ac:dyDescent="0.35">
      <c r="A34" t="s">
        <v>97</v>
      </c>
      <c r="B34" t="s">
        <v>88</v>
      </c>
      <c r="C34" t="s">
        <v>88</v>
      </c>
      <c r="D34" t="s">
        <v>78</v>
      </c>
      <c r="E34" t="s">
        <v>98</v>
      </c>
      <c r="F34">
        <v>0</v>
      </c>
      <c r="G34">
        <v>0</v>
      </c>
      <c r="H34" s="5">
        <v>0.05</v>
      </c>
      <c r="I34" s="5">
        <v>1.470226205E-2</v>
      </c>
      <c r="J34" s="2"/>
      <c r="K34" s="2"/>
      <c r="L34" s="2"/>
      <c r="M34" s="2"/>
      <c r="N34" s="2"/>
      <c r="O34" s="2"/>
      <c r="P34" s="2"/>
      <c r="Q34" s="5"/>
    </row>
    <row r="35" spans="1:17" x14ac:dyDescent="0.35">
      <c r="A35" t="s">
        <v>99</v>
      </c>
      <c r="B35" t="s">
        <v>88</v>
      </c>
      <c r="C35" t="s">
        <v>88</v>
      </c>
      <c r="D35" t="s">
        <v>82</v>
      </c>
      <c r="E35" t="s">
        <v>83</v>
      </c>
      <c r="G35">
        <v>0</v>
      </c>
      <c r="H35" s="5">
        <v>0.05</v>
      </c>
      <c r="I35" s="5">
        <v>6.5192820930000004E-4</v>
      </c>
      <c r="J35" s="2"/>
      <c r="K35" s="2">
        <v>1044.3599999999999</v>
      </c>
      <c r="L35" s="2"/>
      <c r="M35" s="2"/>
      <c r="N35" s="2"/>
      <c r="O35" s="2"/>
      <c r="P35" s="2"/>
      <c r="Q35" s="5"/>
    </row>
    <row r="36" spans="1:17" x14ac:dyDescent="0.35">
      <c r="A36" t="s">
        <v>99</v>
      </c>
      <c r="B36" t="s">
        <v>88</v>
      </c>
      <c r="C36" t="s">
        <v>88</v>
      </c>
      <c r="D36" t="s">
        <v>82</v>
      </c>
      <c r="E36" t="s">
        <v>84</v>
      </c>
      <c r="G36">
        <v>0</v>
      </c>
      <c r="H36" s="5">
        <v>0.05</v>
      </c>
      <c r="I36" s="5">
        <v>1.5746904039999999E-2</v>
      </c>
      <c r="J36" s="2"/>
      <c r="K36" s="2">
        <v>25225.84</v>
      </c>
      <c r="L36" s="2"/>
      <c r="M36" s="2"/>
      <c r="N36" s="2"/>
      <c r="O36" s="2"/>
      <c r="P36" s="2"/>
      <c r="Q36" s="5"/>
    </row>
    <row r="37" spans="1:17" x14ac:dyDescent="0.35">
      <c r="A37" t="s">
        <v>100</v>
      </c>
      <c r="B37" t="s">
        <v>88</v>
      </c>
      <c r="C37" t="s">
        <v>88</v>
      </c>
      <c r="D37" t="s">
        <v>82</v>
      </c>
      <c r="E37" t="s">
        <v>86</v>
      </c>
      <c r="F37">
        <v>0</v>
      </c>
      <c r="G37">
        <v>0</v>
      </c>
      <c r="H37" s="5">
        <v>0.05</v>
      </c>
      <c r="I37" s="5">
        <v>1.6398832240000001E-2</v>
      </c>
      <c r="J37" s="2"/>
      <c r="K37" s="2"/>
      <c r="L37" s="2"/>
      <c r="M37" s="2"/>
      <c r="N37" s="2"/>
      <c r="O37" s="2"/>
      <c r="P37" s="2"/>
      <c r="Q37" s="5"/>
    </row>
    <row r="38" spans="1:17" x14ac:dyDescent="0.35">
      <c r="A38" t="s">
        <v>101</v>
      </c>
      <c r="B38" t="s">
        <v>88</v>
      </c>
      <c r="C38" t="s">
        <v>120</v>
      </c>
      <c r="D38" t="s">
        <v>102</v>
      </c>
      <c r="E38" t="s">
        <v>103</v>
      </c>
      <c r="F38">
        <v>1</v>
      </c>
      <c r="H38" s="5"/>
      <c r="I38" s="5"/>
      <c r="J38" s="2"/>
      <c r="K38" s="2"/>
      <c r="L38" s="2"/>
      <c r="M38" s="2"/>
      <c r="N38" s="2"/>
      <c r="O38" s="2"/>
      <c r="P38" s="2"/>
      <c r="Q38" s="5"/>
    </row>
    <row r="39" spans="1:17" x14ac:dyDescent="0.35">
      <c r="A39" t="s">
        <v>104</v>
      </c>
      <c r="B39" t="s">
        <v>105</v>
      </c>
      <c r="C39" t="s">
        <v>121</v>
      </c>
      <c r="D39" t="s">
        <v>106</v>
      </c>
      <c r="E39" t="s">
        <v>33</v>
      </c>
      <c r="F39">
        <v>1</v>
      </c>
      <c r="H39" s="5">
        <v>0.5</v>
      </c>
      <c r="I39" s="5">
        <v>5.8999999999999997E-2</v>
      </c>
      <c r="J39" s="2"/>
      <c r="K39" s="2">
        <v>94352.26</v>
      </c>
      <c r="L39" s="2"/>
      <c r="M39" s="2"/>
      <c r="N39" s="2"/>
      <c r="O39" s="2"/>
      <c r="P39" s="2"/>
      <c r="Q39" s="5"/>
    </row>
    <row r="40" spans="1:17" x14ac:dyDescent="0.35">
      <c r="A40" t="s">
        <v>107</v>
      </c>
      <c r="B40" t="s">
        <v>108</v>
      </c>
      <c r="C40" t="s">
        <v>108</v>
      </c>
      <c r="D40" t="s">
        <v>109</v>
      </c>
      <c r="E40" t="s">
        <v>33</v>
      </c>
      <c r="F40">
        <v>1</v>
      </c>
      <c r="H40" s="5">
        <v>0.04</v>
      </c>
      <c r="I40" s="5">
        <v>9.3985049629999998E-2</v>
      </c>
      <c r="J40" s="2"/>
      <c r="K40" s="2">
        <v>150559.87</v>
      </c>
      <c r="L40" s="2"/>
      <c r="M40" s="2"/>
      <c r="N40" s="2"/>
      <c r="O40" s="2"/>
      <c r="P40" s="2"/>
      <c r="Q40" s="5"/>
    </row>
    <row r="41" spans="1:17" x14ac:dyDescent="0.35">
      <c r="A41" t="s">
        <v>110</v>
      </c>
      <c r="B41" t="s">
        <v>111</v>
      </c>
      <c r="C41" t="s">
        <v>122</v>
      </c>
      <c r="D41" t="s">
        <v>112</v>
      </c>
      <c r="E41" t="s">
        <v>33</v>
      </c>
      <c r="F41">
        <v>1</v>
      </c>
      <c r="H41" s="5"/>
      <c r="I41" s="5"/>
      <c r="J41" s="2"/>
      <c r="K41" s="2"/>
      <c r="L41" s="2"/>
      <c r="M41" s="2"/>
      <c r="N41" s="2"/>
      <c r="O41" s="2"/>
      <c r="P41" s="2"/>
      <c r="Q41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AA3FE-BD0E-440D-9C82-619A2E56F436}">
  <sheetPr codeName="Sheet6"/>
  <dimension ref="A1:K4"/>
  <sheetViews>
    <sheetView topLeftCell="B1" workbookViewId="0">
      <selection activeCell="I1" sqref="I1"/>
    </sheetView>
  </sheetViews>
  <sheetFormatPr defaultRowHeight="14.5" x14ac:dyDescent="0.35"/>
  <cols>
    <col min="1" max="1" width="21.26953125" bestFit="1" customWidth="1"/>
    <col min="2" max="2" width="25.36328125" bestFit="1" customWidth="1"/>
    <col min="3" max="3" width="49.1796875" bestFit="1" customWidth="1"/>
    <col min="4" max="4" width="49.08984375" bestFit="1" customWidth="1"/>
    <col min="5" max="5" width="24.54296875" bestFit="1" customWidth="1"/>
    <col min="6" max="6" width="22.90625" bestFit="1" customWidth="1"/>
    <col min="7" max="7" width="24.6328125" bestFit="1" customWidth="1"/>
    <col min="8" max="9" width="14" style="50" bestFit="1" customWidth="1"/>
    <col min="10" max="11" width="17.54296875" style="53" bestFit="1" customWidth="1"/>
  </cols>
  <sheetData>
    <row r="1" spans="1:11" x14ac:dyDescent="0.35">
      <c r="B1" s="3" t="s">
        <v>125</v>
      </c>
      <c r="C1" s="30" t="str">
        <f>Main_Page!F9</f>
        <v>Please Select</v>
      </c>
      <c r="D1" s="3" t="s">
        <v>39</v>
      </c>
      <c r="E1" s="30" cm="1">
        <f t="array" ref="E1">_xlfn.CHOOSEROWS(Snowflake_Data!E:E,2)</f>
        <v>0</v>
      </c>
      <c r="F1" s="3" t="s">
        <v>41</v>
      </c>
      <c r="G1" s="30" t="e" cm="1">
        <f t="array" ref="G1">_xlfn.XLOOKUP(1,(UPPER(Snowflake_Data!C:C)="QUALIFIED TIER LEVEL")*(UPPER(Snowflake_Data!H:H)="SUMMARY")*(Snowflake_Data!I:I=C1),Snowflake_Data!AA:AA)</f>
        <v>#N/A</v>
      </c>
    </row>
    <row r="2" spans="1:11" ht="15" thickBot="1" x14ac:dyDescent="0.4">
      <c r="D2" s="3" t="s">
        <v>40</v>
      </c>
      <c r="E2" s="30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49">
        <f>SUMIFS(Snowflake_Data!V:V,Snowflake_Data!C:C,"=ANNUAL PRODUCT SALES",Snowflake_Data!AH:AH,TRUE,Snowflake_Data!J:J,"=MINIMUM PRODUCT TIER",Snowflake_Data!I:I,GroupBy_Summary!C1)</f>
        <v>0</v>
      </c>
    </row>
    <row r="3" spans="1:11" s="28" customFormat="1" ht="15" thickTop="1" x14ac:dyDescent="0.35">
      <c r="A3" s="28" t="str" cm="1">
        <f t="array" ref="A3">_xlfn.LET(_xlpm.matrix, IFERROR(_xlfn.GROUPBY(_xlfn.HSTACK(Snowflake_Data!B:B,Snowflake_Data!C:C,Snowflake_Data!AF:AF,Snowflake_Data!J:J,Snowflake_Data!Z:Z),_xlfn.HSTACK(Snowflake_Data!Y:Y,Snowflake_Data!X:X,Snowflake_Data!S:S,Snowflake_Data!T:T,Snowflake_Data!U:U,Snowflake_Data!V:V),_xlfn.HSTACK(_xleta.SUM,_xlfn.LAMBDA(_xlpm.x, MAX(_xlpm.x)),_xleta.AVERAGE,_xleta.AVERAGE,_xleta.SUM,_xleta.SUM),,0,1,(Snowflake_Data!AH:AH=TRUE)*(Snowflake_Data!I:I=C1)),""),IF(_xlpm.matrix=0,"",_xlpm.matrix))</f>
        <v/>
      </c>
      <c r="H3" s="51"/>
      <c r="I3" s="51"/>
      <c r="J3" s="54"/>
      <c r="K3" s="54"/>
    </row>
    <row r="4" spans="1:11" s="3" customFormat="1" x14ac:dyDescent="0.35">
      <c r="H4" s="52"/>
      <c r="I4" s="52"/>
      <c r="J4" s="55"/>
      <c r="K4" s="5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E2B1-8E01-426E-A780-B2308A636499}">
  <sheetPr codeName="Sheet8"/>
  <dimension ref="A1:R4"/>
  <sheetViews>
    <sheetView topLeftCell="F210" workbookViewId="0">
      <selection activeCell="A3" sqref="A3:Q250"/>
    </sheetView>
  </sheetViews>
  <sheetFormatPr defaultRowHeight="14.5" x14ac:dyDescent="0.35"/>
  <cols>
    <col min="1" max="1" width="21.26953125" bestFit="1" customWidth="1"/>
    <col min="2" max="2" width="25.08984375" bestFit="1" customWidth="1"/>
    <col min="3" max="3" width="67.6328125" bestFit="1" customWidth="1"/>
    <col min="4" max="4" width="26" bestFit="1" customWidth="1"/>
    <col min="5" max="5" width="31.7265625" bestFit="1" customWidth="1"/>
    <col min="6" max="6" width="22.90625" bestFit="1" customWidth="1"/>
    <col min="7" max="7" width="24.6328125" bestFit="1" customWidth="1"/>
    <col min="8" max="9" width="14" style="50" bestFit="1" customWidth="1"/>
    <col min="10" max="11" width="17.54296875" style="53" bestFit="1" customWidth="1"/>
    <col min="12" max="12" width="21.08984375" style="53" bestFit="1" customWidth="1"/>
    <col min="13" max="13" width="22.90625" style="53" bestFit="1" customWidth="1"/>
    <col min="14" max="15" width="23.81640625" style="53" bestFit="1" customWidth="1"/>
    <col min="16" max="16" width="18" style="53" bestFit="1" customWidth="1"/>
    <col min="17" max="17" width="20" style="50" bestFit="1" customWidth="1"/>
    <col min="18" max="18" width="20" style="6" bestFit="1" customWidth="1"/>
  </cols>
  <sheetData>
    <row r="1" spans="1:18" x14ac:dyDescent="0.35">
      <c r="B1" s="3" t="s">
        <v>125</v>
      </c>
      <c r="C1" s="30" t="str">
        <f>GroupBy_Summary!C1</f>
        <v>Please Select</v>
      </c>
      <c r="D1" s="3" t="s">
        <v>39</v>
      </c>
      <c r="E1" s="30" cm="1">
        <f t="array" ref="E1">_xlfn.CHOOSEROWS(Snowflake_Data!E:E,2)</f>
        <v>0</v>
      </c>
      <c r="F1" s="3" t="s">
        <v>41</v>
      </c>
      <c r="G1" s="30" t="e" cm="1">
        <f t="array" ref="G1">_xlfn.XLOOKUP(1,(UPPER(Snowflake_Data!C:C)="QUALIFIED TIER LEVEL")*(UPPER(Snowflake_Data!H:H)="SUMMARY")*(Snowflake_Data!I:I=C1),Snowflake_Data!AA:AA)</f>
        <v>#N/A</v>
      </c>
    </row>
    <row r="2" spans="1:18" ht="15" thickBot="1" x14ac:dyDescent="0.4">
      <c r="D2" s="3" t="s">
        <v>40</v>
      </c>
      <c r="E2" s="30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49">
        <f>SUMIFS(Snowflake_Data!V:V,Snowflake_Data!C:C,"=ANNUAL PRODUCT SALES",Snowflake_Data!AH:AH,TRUE,Snowflake_Data!J:J,"=MINIMUM PRODUCT TIER",Snowflake_Data!I:I,GroupBy_Detail!C1)</f>
        <v>0</v>
      </c>
    </row>
    <row r="3" spans="1:18" s="28" customFormat="1" ht="15" thickTop="1" x14ac:dyDescent="0.35">
      <c r="A3" s="28" t="str" cm="1">
        <f t="array" ref="A3">_xlfn.LET(_xlpm.matrix, IFERROR(_xlfn.GROUPBY(_xlfn.HSTACK(Snowflake_Data!B:B,Snowflake_Data!C:C,Snowflake_Data!AF:AF,Snowflake_Data!J:J,Snowflake_Data!K:K),_xlfn.HSTACK(Snowflake_Data!Y:Y,Snowflake_Data!X:X,Snowflake_Data!S:S,Snowflake_Data!T:T,Snowflake_Data!U:U,Snowflake_Data!V:V,Snowflake_Data!AC:AC,Snowflake_Data!O:O,Snowflake_Data!N:N,Snowflake_Data!M:M,Snowflake_Data!P:P,Snowflake_Data!AB:AB),_xlfn.HSTACK(_xleta.SUM,_xlfn.LAMBDA(_xlpm.x, MAX(_xlpm.x)),_xleta.AVERAGE,_xleta.AVERAGE,_xleta.SUM,_xleta.SUM,_xleta.SUM,_xleta.SUM,_xleta.SUM,_xleta.SUM,_xleta.SUM,_xleta.SUM),,0,1,(Snowflake_Data!AG:AG=TRUE)*(Snowflake_Data!I:I=$C$1)),""),IF(_xlpm.matrix=0,"",_xlpm.matrix))</f>
        <v/>
      </c>
      <c r="H3" s="51"/>
      <c r="I3" s="51"/>
      <c r="J3" s="54"/>
      <c r="K3" s="54"/>
      <c r="L3" s="54"/>
      <c r="M3" s="54"/>
      <c r="N3" s="54"/>
      <c r="O3" s="54"/>
      <c r="P3" s="54"/>
      <c r="Q3" s="51"/>
      <c r="R3" s="29"/>
    </row>
    <row r="4" spans="1:18" s="3" customFormat="1" x14ac:dyDescent="0.35">
      <c r="H4" s="52"/>
      <c r="I4" s="52"/>
      <c r="J4" s="55"/>
      <c r="K4" s="55"/>
      <c r="L4" s="55"/>
      <c r="M4" s="55"/>
      <c r="N4" s="55"/>
      <c r="O4" s="55"/>
      <c r="P4" s="55"/>
      <c r="Q4" s="52"/>
      <c r="R4" s="27"/>
    </row>
  </sheetData>
  <conditionalFormatting sqref="A3:Q250">
    <cfRule type="expression" dxfId="1" priority="1">
      <formula>ISNUMBER(SEARCH("TOTAL",$E3))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229CF-7960-47F9-A407-A545DC488FEC}">
  <sheetPr codeName="Sheet4">
    <pageSetUpPr fitToPage="1"/>
  </sheetPr>
  <dimension ref="A1:O60"/>
  <sheetViews>
    <sheetView zoomScaleNormal="100" workbookViewId="0">
      <selection activeCell="I1" sqref="I1:J1048576"/>
    </sheetView>
  </sheetViews>
  <sheetFormatPr defaultRowHeight="14.5" x14ac:dyDescent="0.35"/>
  <cols>
    <col min="1" max="1" width="27.26953125" customWidth="1"/>
    <col min="2" max="2" width="31.81640625" customWidth="1"/>
    <col min="3" max="3" width="30" customWidth="1"/>
    <col min="4" max="6" width="13.08984375" customWidth="1"/>
    <col min="7" max="8" width="14.1796875" style="50" customWidth="1"/>
    <col min="9" max="10" width="18.1796875" style="53" customWidth="1"/>
    <col min="11" max="11" width="13.81640625" style="4" bestFit="1" customWidth="1"/>
    <col min="12" max="13" width="14.26953125" style="4" bestFit="1" customWidth="1"/>
    <col min="14" max="14" width="13.81640625" style="4" bestFit="1" customWidth="1"/>
    <col min="15" max="15" width="9.81640625" style="6" bestFit="1" customWidth="1"/>
    <col min="16" max="16" width="9.81640625" bestFit="1" customWidth="1"/>
  </cols>
  <sheetData>
    <row r="1" spans="1:10" x14ac:dyDescent="0.35">
      <c r="A1" s="47" t="e" vm="1">
        <v>#VALUE!</v>
      </c>
    </row>
    <row r="2" spans="1:10" ht="24" thickBot="1" x14ac:dyDescent="0.6">
      <c r="A2" s="48"/>
      <c r="B2" s="46" t="s">
        <v>52</v>
      </c>
      <c r="C2" s="46"/>
      <c r="D2" s="46"/>
      <c r="E2" s="46"/>
      <c r="F2" s="46"/>
      <c r="G2" s="46"/>
      <c r="H2" s="46"/>
      <c r="I2" s="46"/>
      <c r="J2" s="46"/>
    </row>
    <row r="3" spans="1:10" ht="16" x14ac:dyDescent="0.4">
      <c r="A3" s="7" t="str">
        <f>"Customer: " &amp; GroupBy_Summary!Customer_Name</f>
        <v>Customer: 0</v>
      </c>
    </row>
    <row r="4" spans="1:10" x14ac:dyDescent="0.35">
      <c r="A4" s="9" t="e">
        <f>"Qualified Tier: " &amp; GroupBy_Summary!E2</f>
        <v>#N/A</v>
      </c>
      <c r="B4" s="9" t="e">
        <f>"Total Points: " &amp; GroupBy_Summary!G1</f>
        <v>#N/A</v>
      </c>
      <c r="C4" s="10" t="str">
        <f>"Actual Amount: " &amp; TEXT(GroupBy_Summary!G2,"$###,###,###,##0")</f>
        <v>Actual Amount: $0</v>
      </c>
    </row>
    <row r="6" spans="1:10" x14ac:dyDescent="0.35">
      <c r="A6" s="8" t="str">
        <f>"Report Date Selection: " &amp; GroupBy_Summary!C1</f>
        <v>Report Date Selection: Please Select</v>
      </c>
    </row>
    <row r="9" spans="1:10" ht="30" customHeight="1" x14ac:dyDescent="0.35">
      <c r="A9" s="12" t="e" cm="1">
        <f t="array" ref="A9">_xlfn.IFNA(_xlfn.VSTACK({"Report Section Header","Scorecard Description","Category","Scorecard Metric Met","Scorecard Tally Cnt","Lead Category Met","Target Values","Actual Values","Target Amount","Actual Amount"},_xlfn._TRO_ALL(GroupBy_Summary!B5:K25)),"")</f>
        <v>#REF!</v>
      </c>
      <c r="B9" s="11"/>
      <c r="C9" s="11"/>
      <c r="D9" s="11"/>
      <c r="E9" s="11"/>
      <c r="F9" s="11"/>
      <c r="G9" s="56"/>
      <c r="H9" s="56"/>
      <c r="I9" s="59"/>
      <c r="J9" s="60"/>
    </row>
    <row r="10" spans="1:10" x14ac:dyDescent="0.35">
      <c r="A10" s="13"/>
      <c r="B10" s="14"/>
      <c r="C10" s="14"/>
      <c r="D10" s="15"/>
      <c r="E10" s="15"/>
      <c r="F10" s="15"/>
      <c r="G10" s="57"/>
      <c r="H10" s="57"/>
      <c r="I10" s="61"/>
      <c r="J10" s="62"/>
    </row>
    <row r="11" spans="1:10" x14ac:dyDescent="0.35">
      <c r="A11" s="13"/>
      <c r="B11" s="14"/>
      <c r="C11" s="14"/>
      <c r="D11" s="15"/>
      <c r="E11" s="15"/>
      <c r="F11" s="15"/>
      <c r="G11" s="57"/>
      <c r="H11" s="57"/>
      <c r="I11" s="61"/>
      <c r="J11" s="62"/>
    </row>
    <row r="12" spans="1:10" x14ac:dyDescent="0.35">
      <c r="A12" s="13"/>
      <c r="B12" s="14"/>
      <c r="C12" s="14"/>
      <c r="D12" s="15"/>
      <c r="E12" s="15"/>
      <c r="F12" s="15"/>
      <c r="G12" s="57"/>
      <c r="H12" s="57"/>
      <c r="I12" s="61"/>
      <c r="J12" s="62"/>
    </row>
    <row r="13" spans="1:10" x14ac:dyDescent="0.35">
      <c r="A13" s="13"/>
      <c r="B13" s="14"/>
      <c r="C13" s="14"/>
      <c r="D13" s="15"/>
      <c r="E13" s="15"/>
      <c r="F13" s="15"/>
      <c r="G13" s="57"/>
      <c r="H13" s="57"/>
      <c r="I13" s="61"/>
      <c r="J13" s="62"/>
    </row>
    <row r="14" spans="1:10" x14ac:dyDescent="0.35">
      <c r="A14" s="13"/>
      <c r="B14" s="14"/>
      <c r="C14" s="14"/>
      <c r="D14" s="15"/>
      <c r="E14" s="15"/>
      <c r="F14" s="15"/>
      <c r="G14" s="57"/>
      <c r="H14" s="57"/>
      <c r="I14" s="61"/>
      <c r="J14" s="62"/>
    </row>
    <row r="15" spans="1:10" x14ac:dyDescent="0.35">
      <c r="A15" s="13"/>
      <c r="B15" s="14"/>
      <c r="C15" s="14"/>
      <c r="D15" s="15"/>
      <c r="E15" s="15"/>
      <c r="F15" s="15"/>
      <c r="G15" s="57"/>
      <c r="H15" s="57"/>
      <c r="I15" s="61"/>
      <c r="J15" s="62"/>
    </row>
    <row r="16" spans="1:10" x14ac:dyDescent="0.35">
      <c r="A16" s="13"/>
      <c r="B16" s="14"/>
      <c r="C16" s="14"/>
      <c r="D16" s="15"/>
      <c r="E16" s="15"/>
      <c r="F16" s="15"/>
      <c r="G16" s="57"/>
      <c r="H16" s="57"/>
      <c r="I16" s="61"/>
      <c r="J16" s="62"/>
    </row>
    <row r="17" spans="1:10" x14ac:dyDescent="0.35">
      <c r="A17" s="13"/>
      <c r="B17" s="14"/>
      <c r="C17" s="14"/>
      <c r="D17" s="15"/>
      <c r="E17" s="15"/>
      <c r="F17" s="15"/>
      <c r="G17" s="57"/>
      <c r="H17" s="57"/>
      <c r="I17" s="61"/>
      <c r="J17" s="62"/>
    </row>
    <row r="18" spans="1:10" x14ac:dyDescent="0.35">
      <c r="A18" s="13"/>
      <c r="B18" s="14"/>
      <c r="C18" s="14"/>
      <c r="D18" s="15"/>
      <c r="E18" s="15"/>
      <c r="F18" s="15"/>
      <c r="G18" s="57"/>
      <c r="H18" s="57"/>
      <c r="I18" s="61"/>
      <c r="J18" s="62"/>
    </row>
    <row r="19" spans="1:10" x14ac:dyDescent="0.35">
      <c r="A19" s="13"/>
      <c r="B19" s="14"/>
      <c r="C19" s="14"/>
      <c r="D19" s="15"/>
      <c r="E19" s="15"/>
      <c r="F19" s="15"/>
      <c r="G19" s="57"/>
      <c r="H19" s="57"/>
      <c r="I19" s="61"/>
      <c r="J19" s="62"/>
    </row>
    <row r="20" spans="1:10" x14ac:dyDescent="0.35">
      <c r="A20" s="13"/>
      <c r="B20" s="14"/>
      <c r="C20" s="14"/>
      <c r="D20" s="15"/>
      <c r="E20" s="15"/>
      <c r="F20" s="15"/>
      <c r="G20" s="57"/>
      <c r="H20" s="57"/>
      <c r="I20" s="61"/>
      <c r="J20" s="62"/>
    </row>
    <row r="21" spans="1:10" x14ac:dyDescent="0.35">
      <c r="A21" s="13"/>
      <c r="B21" s="14"/>
      <c r="C21" s="14"/>
      <c r="D21" s="15"/>
      <c r="E21" s="15"/>
      <c r="F21" s="15"/>
      <c r="G21" s="57"/>
      <c r="H21" s="57"/>
      <c r="I21" s="61"/>
      <c r="J21" s="62"/>
    </row>
    <row r="22" spans="1:10" x14ac:dyDescent="0.35">
      <c r="A22" s="13"/>
      <c r="B22" s="14"/>
      <c r="C22" s="14"/>
      <c r="D22" s="15"/>
      <c r="E22" s="15"/>
      <c r="F22" s="15"/>
      <c r="G22" s="57"/>
      <c r="H22" s="57"/>
      <c r="I22" s="61"/>
      <c r="J22" s="62"/>
    </row>
    <row r="23" spans="1:10" x14ac:dyDescent="0.35">
      <c r="A23" s="13"/>
      <c r="B23" s="14"/>
      <c r="C23" s="14"/>
      <c r="D23" s="15"/>
      <c r="E23" s="15"/>
      <c r="F23" s="15"/>
      <c r="G23" s="57"/>
      <c r="H23" s="57"/>
      <c r="I23" s="61"/>
      <c r="J23" s="62"/>
    </row>
    <row r="24" spans="1:10" x14ac:dyDescent="0.35">
      <c r="A24" s="16"/>
      <c r="B24" s="17"/>
      <c r="C24" s="17"/>
      <c r="D24" s="18"/>
      <c r="E24" s="18"/>
      <c r="F24" s="18"/>
      <c r="G24" s="58"/>
      <c r="H24" s="58"/>
      <c r="I24" s="63"/>
      <c r="J24" s="64"/>
    </row>
    <row r="25" spans="1:10" x14ac:dyDescent="0.35">
      <c r="A25" s="3"/>
    </row>
    <row r="26" spans="1:10" x14ac:dyDescent="0.35">
      <c r="A26" s="19"/>
    </row>
    <row r="27" spans="1:10" x14ac:dyDescent="0.35">
      <c r="A27" s="19"/>
    </row>
    <row r="28" spans="1:10" x14ac:dyDescent="0.35">
      <c r="A28" s="19"/>
    </row>
    <row r="29" spans="1:10" x14ac:dyDescent="0.35">
      <c r="A29" s="19"/>
    </row>
    <row r="30" spans="1:10" x14ac:dyDescent="0.35">
      <c r="A30" s="19"/>
    </row>
    <row r="31" spans="1:10" x14ac:dyDescent="0.35">
      <c r="A31" s="3"/>
    </row>
    <row r="32" spans="1:10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</sheetData>
  <mergeCells count="2">
    <mergeCell ref="B2:J2"/>
    <mergeCell ref="A1:A2"/>
  </mergeCells>
  <pageMargins left="1" right="1" top="0.75" bottom="0.75" header="0.5" footer="1"/>
  <pageSetup scale="5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4684-1C79-4CB1-A98A-443D2FBF8E55}">
  <sheetPr codeName="Sheet5">
    <pageSetUpPr fitToPage="1"/>
  </sheetPr>
  <dimension ref="A3:O81"/>
  <sheetViews>
    <sheetView zoomScaleNormal="100" workbookViewId="0">
      <selection activeCell="A10" sqref="A10"/>
    </sheetView>
  </sheetViews>
  <sheetFormatPr defaultRowHeight="14.5" x14ac:dyDescent="0.35"/>
  <cols>
    <col min="1" max="1" width="23.6328125" customWidth="1"/>
    <col min="2" max="2" width="32.6328125" customWidth="1"/>
    <col min="3" max="3" width="37.6328125" customWidth="1"/>
    <col min="4" max="5" width="10.6328125" customWidth="1"/>
    <col min="6" max="7" width="10.6328125" style="50" customWidth="1"/>
    <col min="8" max="8" width="13.81640625" style="53" bestFit="1" customWidth="1"/>
    <col min="9" max="14" width="12.6328125" style="53" customWidth="1"/>
    <col min="15" max="15" width="10.6328125" style="50" customWidth="1"/>
    <col min="16" max="16" width="9.81640625" bestFit="1" customWidth="1"/>
  </cols>
  <sheetData>
    <row r="3" spans="1:15" ht="16" x14ac:dyDescent="0.4">
      <c r="A3" s="7" t="str">
        <f>"Customer: " &amp; GroupBy_Summary!Customer_Name</f>
        <v>Customer: 0</v>
      </c>
    </row>
    <row r="4" spans="1:15" x14ac:dyDescent="0.35">
      <c r="A4" s="9" t="e">
        <f>"Qualified Tier: " &amp; GroupBy_Summary!E2</f>
        <v>#N/A</v>
      </c>
      <c r="B4" s="9" t="e">
        <f>"Total Points: " &amp; GroupBy_Summary!G1</f>
        <v>#N/A</v>
      </c>
      <c r="C4" s="10" t="str">
        <f>"Actual Amount: " &amp; TEXT(GroupBy_Summary!G2,"$###,###,###,##0")</f>
        <v>Actual Amount: $0</v>
      </c>
    </row>
    <row r="6" spans="1:15" x14ac:dyDescent="0.35">
      <c r="A6" s="20" t="str">
        <f>"Report Date Selection: " &amp; GroupBy_Summary!C1</f>
        <v>Report Date Selection: Please Select</v>
      </c>
    </row>
    <row r="9" spans="1:15" ht="30" customHeight="1" x14ac:dyDescent="0.35">
      <c r="A9" s="12" t="e" cm="1">
        <f t="array" ref="A9">_xlfn.IFNA(_xlfn.VSTACK({"Scorecard Description","Category","Sub Category","Scorecard Tally Cnt","Scorecard Metric Cnt","Target Values","Actual Values","Target Amount","Actual Amount","Amount Remaining","Prev Year Sales","Prev Year2 Sales","Prev Year3 Sales","3 Year Avg","% to Target"},_xlfn._TRO_ALL(GroupBy_Detail!C5:Q58)),"")</f>
        <v>#REF!</v>
      </c>
      <c r="B9" s="12"/>
      <c r="C9" s="12"/>
      <c r="D9" s="12"/>
      <c r="E9" s="12"/>
      <c r="F9" s="65"/>
      <c r="G9" s="65"/>
      <c r="H9" s="67"/>
      <c r="I9" s="67"/>
      <c r="J9" s="67"/>
      <c r="K9" s="67"/>
      <c r="L9" s="67"/>
      <c r="M9" s="67"/>
      <c r="N9" s="67"/>
      <c r="O9" s="65"/>
    </row>
    <row r="10" spans="1:15" s="21" customFormat="1" ht="13" x14ac:dyDescent="0.3">
      <c r="F10" s="66"/>
      <c r="G10" s="66"/>
      <c r="H10" s="68"/>
      <c r="I10" s="68"/>
      <c r="J10" s="68"/>
      <c r="K10" s="68"/>
      <c r="L10" s="68"/>
      <c r="M10" s="68"/>
      <c r="N10" s="68"/>
      <c r="O10" s="66"/>
    </row>
    <row r="11" spans="1:15" s="21" customFormat="1" ht="13" x14ac:dyDescent="0.3">
      <c r="F11" s="66"/>
      <c r="G11" s="66"/>
      <c r="H11" s="68"/>
      <c r="I11" s="68"/>
      <c r="J11" s="68"/>
      <c r="K11" s="68"/>
      <c r="L11" s="68"/>
      <c r="M11" s="68"/>
      <c r="N11" s="68"/>
      <c r="O11" s="66"/>
    </row>
    <row r="12" spans="1:15" s="21" customFormat="1" ht="13" x14ac:dyDescent="0.3">
      <c r="F12" s="66"/>
      <c r="G12" s="66"/>
      <c r="H12" s="68"/>
      <c r="I12" s="68"/>
      <c r="J12" s="68"/>
      <c r="K12" s="68"/>
      <c r="L12" s="68"/>
      <c r="M12" s="68"/>
      <c r="N12" s="68"/>
      <c r="O12" s="66"/>
    </row>
    <row r="13" spans="1:15" s="21" customFormat="1" ht="13" x14ac:dyDescent="0.3">
      <c r="F13" s="66"/>
      <c r="G13" s="66"/>
      <c r="H13" s="68"/>
      <c r="I13" s="68"/>
      <c r="J13" s="68"/>
      <c r="K13" s="68"/>
      <c r="L13" s="68"/>
      <c r="M13" s="68"/>
      <c r="N13" s="68"/>
      <c r="O13" s="66"/>
    </row>
    <row r="14" spans="1:15" s="21" customFormat="1" ht="13" x14ac:dyDescent="0.3">
      <c r="F14" s="66"/>
      <c r="G14" s="66"/>
      <c r="H14" s="68"/>
      <c r="I14" s="68"/>
      <c r="J14" s="68"/>
      <c r="K14" s="68"/>
      <c r="L14" s="68"/>
      <c r="M14" s="68"/>
      <c r="N14" s="68"/>
      <c r="O14" s="66"/>
    </row>
    <row r="15" spans="1:15" s="21" customFormat="1" ht="13" x14ac:dyDescent="0.3">
      <c r="F15" s="66"/>
      <c r="G15" s="66"/>
      <c r="H15" s="68"/>
      <c r="I15" s="68"/>
      <c r="J15" s="68"/>
      <c r="K15" s="68"/>
      <c r="L15" s="68"/>
      <c r="M15" s="68"/>
      <c r="N15" s="68"/>
      <c r="O15" s="66"/>
    </row>
    <row r="16" spans="1:15" s="21" customFormat="1" ht="13" x14ac:dyDescent="0.3">
      <c r="F16" s="66"/>
      <c r="G16" s="66"/>
      <c r="H16" s="68"/>
      <c r="I16" s="68"/>
      <c r="J16" s="68"/>
      <c r="K16" s="68"/>
      <c r="L16" s="68"/>
      <c r="M16" s="68"/>
      <c r="N16" s="68"/>
      <c r="O16" s="66"/>
    </row>
    <row r="17" spans="6:15" s="21" customFormat="1" ht="13" x14ac:dyDescent="0.3">
      <c r="F17" s="66"/>
      <c r="G17" s="66"/>
      <c r="H17" s="68"/>
      <c r="I17" s="68"/>
      <c r="J17" s="68"/>
      <c r="K17" s="68"/>
      <c r="L17" s="68"/>
      <c r="M17" s="68"/>
      <c r="N17" s="68"/>
      <c r="O17" s="66"/>
    </row>
    <row r="18" spans="6:15" s="21" customFormat="1" ht="13" x14ac:dyDescent="0.3">
      <c r="F18" s="66"/>
      <c r="G18" s="66"/>
      <c r="H18" s="68"/>
      <c r="I18" s="68"/>
      <c r="J18" s="68"/>
      <c r="K18" s="68"/>
      <c r="L18" s="68"/>
      <c r="M18" s="68"/>
      <c r="N18" s="68"/>
      <c r="O18" s="66"/>
    </row>
    <row r="19" spans="6:15" s="21" customFormat="1" ht="13" x14ac:dyDescent="0.3">
      <c r="F19" s="66"/>
      <c r="G19" s="66"/>
      <c r="H19" s="68"/>
      <c r="I19" s="68"/>
      <c r="J19" s="68"/>
      <c r="K19" s="68"/>
      <c r="L19" s="68"/>
      <c r="M19" s="68"/>
      <c r="N19" s="68"/>
      <c r="O19" s="66"/>
    </row>
    <row r="20" spans="6:15" s="21" customFormat="1" ht="13" x14ac:dyDescent="0.3">
      <c r="F20" s="66"/>
      <c r="G20" s="66"/>
      <c r="H20" s="68"/>
      <c r="I20" s="68"/>
      <c r="J20" s="68"/>
      <c r="K20" s="68"/>
      <c r="L20" s="68"/>
      <c r="M20" s="68"/>
      <c r="N20" s="68"/>
      <c r="O20" s="66"/>
    </row>
    <row r="21" spans="6:15" s="21" customFormat="1" ht="13" x14ac:dyDescent="0.3">
      <c r="F21" s="66"/>
      <c r="G21" s="66"/>
      <c r="H21" s="68"/>
      <c r="I21" s="68"/>
      <c r="J21" s="68"/>
      <c r="K21" s="68"/>
      <c r="L21" s="68"/>
      <c r="M21" s="68"/>
      <c r="N21" s="68"/>
      <c r="O21" s="66"/>
    </row>
    <row r="22" spans="6:15" s="21" customFormat="1" ht="13" x14ac:dyDescent="0.3">
      <c r="F22" s="66"/>
      <c r="G22" s="66"/>
      <c r="H22" s="68"/>
      <c r="I22" s="68"/>
      <c r="J22" s="68"/>
      <c r="K22" s="68"/>
      <c r="L22" s="68"/>
      <c r="M22" s="68"/>
      <c r="N22" s="68"/>
      <c r="O22" s="66"/>
    </row>
    <row r="23" spans="6:15" s="21" customFormat="1" ht="13" x14ac:dyDescent="0.3">
      <c r="F23" s="66"/>
      <c r="G23" s="66"/>
      <c r="H23" s="68"/>
      <c r="I23" s="68"/>
      <c r="J23" s="68"/>
      <c r="K23" s="68"/>
      <c r="L23" s="68"/>
      <c r="M23" s="68"/>
      <c r="N23" s="68"/>
      <c r="O23" s="66"/>
    </row>
    <row r="24" spans="6:15" s="21" customFormat="1" ht="13" x14ac:dyDescent="0.3">
      <c r="F24" s="66"/>
      <c r="G24" s="66"/>
      <c r="H24" s="68"/>
      <c r="I24" s="68"/>
      <c r="J24" s="68"/>
      <c r="K24" s="68"/>
      <c r="L24" s="68"/>
      <c r="M24" s="68"/>
      <c r="N24" s="68"/>
      <c r="O24" s="66"/>
    </row>
    <row r="25" spans="6:15" s="21" customFormat="1" ht="13" x14ac:dyDescent="0.3">
      <c r="F25" s="66"/>
      <c r="G25" s="66"/>
      <c r="H25" s="68"/>
      <c r="I25" s="68"/>
      <c r="J25" s="68"/>
      <c r="K25" s="68"/>
      <c r="L25" s="68"/>
      <c r="M25" s="68"/>
      <c r="N25" s="68"/>
      <c r="O25" s="66"/>
    </row>
    <row r="26" spans="6:15" s="21" customFormat="1" ht="13" x14ac:dyDescent="0.3">
      <c r="F26" s="66"/>
      <c r="G26" s="66"/>
      <c r="H26" s="68"/>
      <c r="I26" s="68"/>
      <c r="J26" s="68"/>
      <c r="K26" s="68"/>
      <c r="L26" s="68"/>
      <c r="M26" s="68"/>
      <c r="N26" s="68"/>
      <c r="O26" s="66"/>
    </row>
    <row r="27" spans="6:15" s="21" customFormat="1" ht="13" x14ac:dyDescent="0.3">
      <c r="F27" s="66"/>
      <c r="G27" s="66"/>
      <c r="H27" s="68"/>
      <c r="I27" s="68"/>
      <c r="J27" s="68"/>
      <c r="K27" s="68"/>
      <c r="L27" s="68"/>
      <c r="M27" s="68"/>
      <c r="N27" s="68"/>
      <c r="O27" s="66"/>
    </row>
    <row r="28" spans="6:15" s="21" customFormat="1" ht="13" x14ac:dyDescent="0.3">
      <c r="F28" s="66"/>
      <c r="G28" s="66"/>
      <c r="H28" s="68"/>
      <c r="I28" s="68"/>
      <c r="J28" s="68"/>
      <c r="K28" s="68"/>
      <c r="L28" s="68"/>
      <c r="M28" s="68"/>
      <c r="N28" s="68"/>
      <c r="O28" s="66"/>
    </row>
    <row r="29" spans="6:15" s="21" customFormat="1" ht="13" x14ac:dyDescent="0.3">
      <c r="F29" s="66"/>
      <c r="G29" s="66"/>
      <c r="H29" s="68"/>
      <c r="I29" s="68"/>
      <c r="J29" s="68"/>
      <c r="K29" s="68"/>
      <c r="L29" s="68"/>
      <c r="M29" s="68"/>
      <c r="N29" s="68"/>
      <c r="O29" s="66"/>
    </row>
    <row r="30" spans="6:15" s="21" customFormat="1" ht="13" x14ac:dyDescent="0.3">
      <c r="F30" s="66"/>
      <c r="G30" s="66"/>
      <c r="H30" s="68"/>
      <c r="I30" s="68"/>
      <c r="J30" s="68"/>
      <c r="K30" s="68"/>
      <c r="L30" s="68"/>
      <c r="M30" s="68"/>
      <c r="N30" s="68"/>
      <c r="O30" s="66"/>
    </row>
    <row r="31" spans="6:15" s="21" customFormat="1" ht="13" x14ac:dyDescent="0.3">
      <c r="F31" s="66"/>
      <c r="G31" s="66"/>
      <c r="H31" s="68"/>
      <c r="I31" s="68"/>
      <c r="J31" s="68"/>
      <c r="K31" s="68"/>
      <c r="L31" s="68"/>
      <c r="M31" s="68"/>
      <c r="N31" s="68"/>
      <c r="O31" s="66"/>
    </row>
    <row r="32" spans="6:15" s="21" customFormat="1" ht="13" x14ac:dyDescent="0.3">
      <c r="F32" s="66"/>
      <c r="G32" s="66"/>
      <c r="H32" s="68"/>
      <c r="I32" s="68"/>
      <c r="J32" s="68"/>
      <c r="K32" s="68"/>
      <c r="L32" s="68"/>
      <c r="M32" s="68"/>
      <c r="N32" s="68"/>
      <c r="O32" s="66"/>
    </row>
    <row r="33" spans="6:15" s="21" customFormat="1" ht="13" x14ac:dyDescent="0.3">
      <c r="F33" s="66"/>
      <c r="G33" s="66"/>
      <c r="H33" s="68"/>
      <c r="I33" s="68"/>
      <c r="J33" s="68"/>
      <c r="K33" s="68"/>
      <c r="L33" s="68"/>
      <c r="M33" s="68"/>
      <c r="N33" s="68"/>
      <c r="O33" s="66"/>
    </row>
    <row r="34" spans="6:15" s="21" customFormat="1" ht="13" x14ac:dyDescent="0.3">
      <c r="F34" s="66"/>
      <c r="G34" s="66"/>
      <c r="H34" s="68"/>
      <c r="I34" s="68"/>
      <c r="J34" s="68"/>
      <c r="K34" s="68"/>
      <c r="L34" s="68"/>
      <c r="M34" s="68"/>
      <c r="N34" s="68"/>
      <c r="O34" s="66"/>
    </row>
    <row r="35" spans="6:15" s="21" customFormat="1" ht="13" x14ac:dyDescent="0.3">
      <c r="F35" s="66"/>
      <c r="G35" s="66"/>
      <c r="H35" s="68"/>
      <c r="I35" s="68"/>
      <c r="J35" s="68"/>
      <c r="K35" s="68"/>
      <c r="L35" s="68"/>
      <c r="M35" s="68"/>
      <c r="N35" s="68"/>
      <c r="O35" s="66"/>
    </row>
    <row r="36" spans="6:15" s="21" customFormat="1" ht="13" x14ac:dyDescent="0.3">
      <c r="F36" s="66"/>
      <c r="G36" s="66"/>
      <c r="H36" s="68"/>
      <c r="I36" s="68"/>
      <c r="J36" s="68"/>
      <c r="K36" s="68"/>
      <c r="L36" s="68"/>
      <c r="M36" s="68"/>
      <c r="N36" s="68"/>
      <c r="O36" s="66"/>
    </row>
    <row r="37" spans="6:15" s="21" customFormat="1" ht="13" x14ac:dyDescent="0.3">
      <c r="F37" s="66"/>
      <c r="G37" s="66"/>
      <c r="H37" s="68"/>
      <c r="I37" s="68"/>
      <c r="J37" s="68"/>
      <c r="K37" s="68"/>
      <c r="L37" s="68"/>
      <c r="M37" s="68"/>
      <c r="N37" s="68"/>
      <c r="O37" s="66"/>
    </row>
    <row r="38" spans="6:15" s="21" customFormat="1" ht="13" x14ac:dyDescent="0.3">
      <c r="F38" s="66"/>
      <c r="G38" s="66"/>
      <c r="H38" s="68"/>
      <c r="I38" s="68"/>
      <c r="J38" s="68"/>
      <c r="K38" s="68"/>
      <c r="L38" s="68"/>
      <c r="M38" s="68"/>
      <c r="N38" s="68"/>
      <c r="O38" s="66"/>
    </row>
    <row r="39" spans="6:15" s="21" customFormat="1" ht="13" x14ac:dyDescent="0.3">
      <c r="F39" s="66"/>
      <c r="G39" s="66"/>
      <c r="H39" s="68"/>
      <c r="I39" s="68"/>
      <c r="J39" s="68"/>
      <c r="K39" s="68"/>
      <c r="L39" s="68"/>
      <c r="M39" s="68"/>
      <c r="N39" s="68"/>
      <c r="O39" s="66"/>
    </row>
    <row r="40" spans="6:15" s="21" customFormat="1" ht="13" x14ac:dyDescent="0.3">
      <c r="F40" s="66"/>
      <c r="G40" s="66"/>
      <c r="H40" s="68"/>
      <c r="I40" s="68"/>
      <c r="J40" s="68"/>
      <c r="K40" s="68"/>
      <c r="L40" s="68"/>
      <c r="M40" s="68"/>
      <c r="N40" s="68"/>
      <c r="O40" s="66"/>
    </row>
    <row r="41" spans="6:15" s="21" customFormat="1" ht="13" x14ac:dyDescent="0.3">
      <c r="F41" s="66"/>
      <c r="G41" s="66"/>
      <c r="H41" s="68"/>
      <c r="I41" s="68"/>
      <c r="J41" s="68"/>
      <c r="K41" s="68"/>
      <c r="L41" s="68"/>
      <c r="M41" s="68"/>
      <c r="N41" s="68"/>
      <c r="O41" s="66"/>
    </row>
    <row r="42" spans="6:15" s="21" customFormat="1" ht="13" x14ac:dyDescent="0.3">
      <c r="F42" s="66"/>
      <c r="G42" s="66"/>
      <c r="H42" s="68"/>
      <c r="I42" s="68"/>
      <c r="J42" s="68"/>
      <c r="K42" s="68"/>
      <c r="L42" s="68"/>
      <c r="M42" s="68"/>
      <c r="N42" s="68"/>
      <c r="O42" s="66"/>
    </row>
    <row r="43" spans="6:15" s="21" customFormat="1" ht="13" x14ac:dyDescent="0.3">
      <c r="F43" s="66"/>
      <c r="G43" s="66"/>
      <c r="H43" s="68"/>
      <c r="I43" s="68"/>
      <c r="J43" s="68"/>
      <c r="K43" s="68"/>
      <c r="L43" s="68"/>
      <c r="M43" s="68"/>
      <c r="N43" s="68"/>
      <c r="O43" s="66"/>
    </row>
    <row r="44" spans="6:15" s="21" customFormat="1" ht="13" x14ac:dyDescent="0.3">
      <c r="F44" s="66"/>
      <c r="G44" s="66"/>
      <c r="H44" s="68"/>
      <c r="I44" s="68"/>
      <c r="J44" s="68"/>
      <c r="K44" s="68"/>
      <c r="L44" s="68"/>
      <c r="M44" s="68"/>
      <c r="N44" s="68"/>
      <c r="O44" s="66"/>
    </row>
    <row r="45" spans="6:15" s="21" customFormat="1" ht="13" x14ac:dyDescent="0.3">
      <c r="F45" s="66"/>
      <c r="G45" s="66"/>
      <c r="H45" s="68"/>
      <c r="I45" s="68"/>
      <c r="J45" s="68"/>
      <c r="K45" s="68"/>
      <c r="L45" s="68"/>
      <c r="M45" s="68"/>
      <c r="N45" s="68"/>
      <c r="O45" s="66"/>
    </row>
    <row r="46" spans="6:15" s="21" customFormat="1" ht="13" x14ac:dyDescent="0.3">
      <c r="F46" s="66"/>
      <c r="G46" s="66"/>
      <c r="H46" s="68"/>
      <c r="I46" s="68"/>
      <c r="J46" s="68"/>
      <c r="K46" s="68"/>
      <c r="L46" s="68"/>
      <c r="M46" s="68"/>
      <c r="N46" s="68"/>
      <c r="O46" s="66"/>
    </row>
    <row r="47" spans="6:15" s="21" customFormat="1" ht="13" x14ac:dyDescent="0.3">
      <c r="F47" s="66"/>
      <c r="G47" s="66"/>
      <c r="H47" s="68"/>
      <c r="I47" s="68"/>
      <c r="J47" s="68"/>
      <c r="K47" s="68"/>
      <c r="L47" s="68"/>
      <c r="M47" s="68"/>
      <c r="N47" s="68"/>
      <c r="O47" s="66"/>
    </row>
    <row r="48" spans="6:15" s="21" customFormat="1" ht="13" x14ac:dyDescent="0.3">
      <c r="F48" s="66"/>
      <c r="G48" s="66"/>
      <c r="H48" s="68"/>
      <c r="I48" s="68"/>
      <c r="J48" s="68"/>
      <c r="K48" s="68"/>
      <c r="L48" s="68"/>
      <c r="M48" s="68"/>
      <c r="N48" s="68"/>
      <c r="O48" s="66"/>
    </row>
    <row r="49" spans="6:15" s="21" customFormat="1" ht="13" x14ac:dyDescent="0.3">
      <c r="F49" s="66"/>
      <c r="G49" s="66"/>
      <c r="H49" s="68"/>
      <c r="I49" s="68"/>
      <c r="J49" s="68"/>
      <c r="K49" s="68"/>
      <c r="L49" s="68"/>
      <c r="M49" s="68"/>
      <c r="N49" s="68"/>
      <c r="O49" s="66"/>
    </row>
    <row r="50" spans="6:15" s="21" customFormat="1" ht="13" x14ac:dyDescent="0.3">
      <c r="F50" s="66"/>
      <c r="G50" s="66"/>
      <c r="H50" s="68"/>
      <c r="I50" s="68"/>
      <c r="J50" s="68"/>
      <c r="K50" s="68"/>
      <c r="L50" s="68"/>
      <c r="M50" s="68"/>
      <c r="N50" s="68"/>
      <c r="O50" s="66"/>
    </row>
    <row r="51" spans="6:15" s="21" customFormat="1" ht="13" x14ac:dyDescent="0.3">
      <c r="F51" s="66"/>
      <c r="G51" s="66"/>
      <c r="H51" s="68"/>
      <c r="I51" s="68"/>
      <c r="J51" s="68"/>
      <c r="K51" s="68"/>
      <c r="L51" s="68"/>
      <c r="M51" s="68"/>
      <c r="N51" s="68"/>
      <c r="O51" s="66"/>
    </row>
    <row r="52" spans="6:15" s="21" customFormat="1" ht="13" x14ac:dyDescent="0.3">
      <c r="F52" s="66"/>
      <c r="G52" s="66"/>
      <c r="H52" s="68"/>
      <c r="I52" s="68"/>
      <c r="J52" s="68"/>
      <c r="K52" s="68"/>
      <c r="L52" s="68"/>
      <c r="M52" s="68"/>
      <c r="N52" s="68"/>
      <c r="O52" s="66"/>
    </row>
    <row r="53" spans="6:15" s="21" customFormat="1" ht="13" x14ac:dyDescent="0.3">
      <c r="F53" s="66"/>
      <c r="G53" s="66"/>
      <c r="H53" s="68"/>
      <c r="I53" s="68"/>
      <c r="J53" s="68"/>
      <c r="K53" s="68"/>
      <c r="L53" s="68"/>
      <c r="M53" s="68"/>
      <c r="N53" s="68"/>
      <c r="O53" s="66"/>
    </row>
    <row r="54" spans="6:15" s="21" customFormat="1" ht="13" x14ac:dyDescent="0.3">
      <c r="F54" s="66"/>
      <c r="G54" s="66"/>
      <c r="H54" s="68"/>
      <c r="I54" s="68"/>
      <c r="J54" s="68"/>
      <c r="K54" s="68"/>
      <c r="L54" s="68"/>
      <c r="M54" s="68"/>
      <c r="N54" s="68"/>
      <c r="O54" s="66"/>
    </row>
    <row r="55" spans="6:15" s="21" customFormat="1" ht="13" x14ac:dyDescent="0.3">
      <c r="F55" s="66"/>
      <c r="G55" s="66"/>
      <c r="H55" s="68"/>
      <c r="I55" s="68"/>
      <c r="J55" s="68"/>
      <c r="K55" s="68"/>
      <c r="L55" s="68"/>
      <c r="M55" s="68"/>
      <c r="N55" s="68"/>
      <c r="O55" s="66"/>
    </row>
    <row r="56" spans="6:15" s="21" customFormat="1" ht="13" x14ac:dyDescent="0.3">
      <c r="F56" s="66"/>
      <c r="G56" s="66"/>
      <c r="H56" s="68"/>
      <c r="I56" s="68"/>
      <c r="J56" s="68"/>
      <c r="K56" s="68"/>
      <c r="L56" s="68"/>
      <c r="M56" s="68"/>
      <c r="N56" s="68"/>
      <c r="O56" s="66"/>
    </row>
    <row r="57" spans="6:15" s="21" customFormat="1" ht="13" x14ac:dyDescent="0.3">
      <c r="F57" s="66"/>
      <c r="G57" s="66"/>
      <c r="H57" s="68"/>
      <c r="I57" s="68"/>
      <c r="J57" s="68"/>
      <c r="K57" s="68"/>
      <c r="L57" s="68"/>
      <c r="M57" s="68"/>
      <c r="N57" s="68"/>
      <c r="O57" s="66"/>
    </row>
    <row r="58" spans="6:15" s="21" customFormat="1" ht="13" x14ac:dyDescent="0.3">
      <c r="F58" s="66"/>
      <c r="G58" s="66"/>
      <c r="H58" s="68"/>
      <c r="I58" s="68"/>
      <c r="J58" s="68"/>
      <c r="K58" s="68"/>
      <c r="L58" s="68"/>
      <c r="M58" s="68"/>
      <c r="N58" s="68"/>
      <c r="O58" s="66"/>
    </row>
    <row r="59" spans="6:15" s="21" customFormat="1" ht="13" x14ac:dyDescent="0.3">
      <c r="F59" s="66"/>
      <c r="G59" s="66"/>
      <c r="H59" s="68"/>
      <c r="I59" s="68"/>
      <c r="J59" s="68"/>
      <c r="K59" s="68"/>
      <c r="L59" s="68"/>
      <c r="M59" s="68"/>
      <c r="N59" s="68"/>
      <c r="O59" s="66"/>
    </row>
    <row r="60" spans="6:15" s="21" customFormat="1" ht="13" x14ac:dyDescent="0.3">
      <c r="F60" s="66"/>
      <c r="G60" s="66"/>
      <c r="H60" s="68"/>
      <c r="I60" s="68"/>
      <c r="J60" s="68"/>
      <c r="K60" s="68"/>
      <c r="L60" s="68"/>
      <c r="M60" s="68"/>
      <c r="N60" s="68"/>
      <c r="O60" s="66"/>
    </row>
    <row r="61" spans="6:15" s="21" customFormat="1" ht="13" x14ac:dyDescent="0.3">
      <c r="F61" s="66"/>
      <c r="G61" s="66"/>
      <c r="H61" s="68"/>
      <c r="I61" s="68"/>
      <c r="J61" s="68"/>
      <c r="K61" s="68"/>
      <c r="L61" s="68"/>
      <c r="M61" s="68"/>
      <c r="N61" s="68"/>
      <c r="O61" s="66"/>
    </row>
    <row r="62" spans="6:15" s="21" customFormat="1" ht="13" x14ac:dyDescent="0.3">
      <c r="F62" s="66"/>
      <c r="G62" s="66"/>
      <c r="H62" s="68"/>
      <c r="I62" s="68"/>
      <c r="J62" s="68"/>
      <c r="K62" s="68"/>
      <c r="L62" s="68"/>
      <c r="M62" s="68"/>
      <c r="N62" s="68"/>
      <c r="O62" s="66"/>
    </row>
    <row r="63" spans="6:15" s="21" customFormat="1" ht="13" x14ac:dyDescent="0.3">
      <c r="F63" s="66"/>
      <c r="G63" s="66"/>
      <c r="H63" s="68"/>
      <c r="I63" s="68"/>
      <c r="J63" s="68"/>
      <c r="K63" s="68"/>
      <c r="L63" s="68"/>
      <c r="M63" s="68"/>
      <c r="N63" s="68"/>
      <c r="O63" s="66"/>
    </row>
    <row r="64" spans="6:15" s="21" customFormat="1" ht="13" x14ac:dyDescent="0.3">
      <c r="F64" s="66"/>
      <c r="G64" s="66"/>
      <c r="H64" s="68"/>
      <c r="I64" s="68"/>
      <c r="J64" s="68"/>
      <c r="K64" s="68"/>
      <c r="L64" s="68"/>
      <c r="M64" s="68"/>
      <c r="N64" s="68"/>
      <c r="O64" s="66"/>
    </row>
    <row r="65" spans="6:15" s="21" customFormat="1" ht="13" x14ac:dyDescent="0.3">
      <c r="F65" s="66"/>
      <c r="G65" s="66"/>
      <c r="H65" s="68"/>
      <c r="I65" s="68"/>
      <c r="J65" s="68"/>
      <c r="K65" s="68"/>
      <c r="L65" s="68"/>
      <c r="M65" s="68"/>
      <c r="N65" s="68"/>
      <c r="O65" s="66"/>
    </row>
    <row r="66" spans="6:15" s="21" customFormat="1" ht="13" x14ac:dyDescent="0.3">
      <c r="F66" s="66"/>
      <c r="G66" s="66"/>
      <c r="H66" s="68"/>
      <c r="I66" s="68"/>
      <c r="J66" s="68"/>
      <c r="K66" s="68"/>
      <c r="L66" s="68"/>
      <c r="M66" s="68"/>
      <c r="N66" s="68"/>
      <c r="O66" s="66"/>
    </row>
    <row r="67" spans="6:15" s="21" customFormat="1" ht="13" x14ac:dyDescent="0.3">
      <c r="F67" s="66"/>
      <c r="G67" s="66"/>
      <c r="H67" s="68"/>
      <c r="I67" s="68"/>
      <c r="J67" s="68"/>
      <c r="K67" s="68"/>
      <c r="L67" s="68"/>
      <c r="M67" s="68"/>
      <c r="N67" s="68"/>
      <c r="O67" s="66"/>
    </row>
    <row r="68" spans="6:15" s="21" customFormat="1" ht="13" x14ac:dyDescent="0.3">
      <c r="F68" s="66"/>
      <c r="G68" s="66"/>
      <c r="H68" s="68"/>
      <c r="I68" s="68"/>
      <c r="J68" s="68"/>
      <c r="K68" s="68"/>
      <c r="L68" s="68"/>
      <c r="M68" s="68"/>
      <c r="N68" s="68"/>
      <c r="O68" s="66"/>
    </row>
    <row r="69" spans="6:15" s="21" customFormat="1" ht="13" x14ac:dyDescent="0.3">
      <c r="F69" s="66"/>
      <c r="G69" s="66"/>
      <c r="H69" s="68"/>
      <c r="I69" s="68"/>
      <c r="J69" s="68"/>
      <c r="K69" s="68"/>
      <c r="L69" s="68"/>
      <c r="M69" s="68"/>
      <c r="N69" s="68"/>
      <c r="O69" s="66"/>
    </row>
    <row r="70" spans="6:15" s="21" customFormat="1" ht="13" x14ac:dyDescent="0.3">
      <c r="F70" s="66"/>
      <c r="G70" s="66"/>
      <c r="H70" s="68"/>
      <c r="I70" s="68"/>
      <c r="J70" s="68"/>
      <c r="K70" s="68"/>
      <c r="L70" s="68"/>
      <c r="M70" s="68"/>
      <c r="N70" s="68"/>
      <c r="O70" s="66"/>
    </row>
    <row r="71" spans="6:15" s="21" customFormat="1" ht="13" x14ac:dyDescent="0.3">
      <c r="F71" s="66"/>
      <c r="G71" s="66"/>
      <c r="H71" s="68"/>
      <c r="I71" s="68"/>
      <c r="J71" s="68"/>
      <c r="K71" s="68"/>
      <c r="L71" s="68"/>
      <c r="M71" s="68"/>
      <c r="N71" s="68"/>
      <c r="O71" s="66"/>
    </row>
    <row r="72" spans="6:15" s="21" customFormat="1" ht="13" x14ac:dyDescent="0.3">
      <c r="F72" s="66"/>
      <c r="G72" s="66"/>
      <c r="H72" s="68"/>
      <c r="I72" s="68"/>
      <c r="J72" s="68"/>
      <c r="K72" s="68"/>
      <c r="L72" s="68"/>
      <c r="M72" s="68"/>
      <c r="N72" s="68"/>
      <c r="O72" s="66"/>
    </row>
    <row r="73" spans="6:15" s="21" customFormat="1" ht="13" x14ac:dyDescent="0.3">
      <c r="F73" s="66"/>
      <c r="G73" s="66"/>
      <c r="H73" s="68"/>
      <c r="I73" s="68"/>
      <c r="J73" s="68"/>
      <c r="K73" s="68"/>
      <c r="L73" s="68"/>
      <c r="M73" s="68"/>
      <c r="N73" s="68"/>
      <c r="O73" s="66"/>
    </row>
    <row r="74" spans="6:15" s="21" customFormat="1" ht="13" x14ac:dyDescent="0.3">
      <c r="F74" s="66"/>
      <c r="G74" s="66"/>
      <c r="H74" s="68"/>
      <c r="I74" s="68"/>
      <c r="J74" s="68"/>
      <c r="K74" s="68"/>
      <c r="L74" s="68"/>
      <c r="M74" s="68"/>
      <c r="N74" s="68"/>
      <c r="O74" s="66"/>
    </row>
    <row r="75" spans="6:15" s="21" customFormat="1" ht="13" x14ac:dyDescent="0.3">
      <c r="F75" s="66"/>
      <c r="G75" s="66"/>
      <c r="H75" s="68"/>
      <c r="I75" s="68"/>
      <c r="J75" s="68"/>
      <c r="K75" s="68"/>
      <c r="L75" s="68"/>
      <c r="M75" s="68"/>
      <c r="N75" s="68"/>
      <c r="O75" s="66"/>
    </row>
    <row r="76" spans="6:15" s="21" customFormat="1" ht="13" x14ac:dyDescent="0.3">
      <c r="F76" s="66"/>
      <c r="G76" s="66"/>
      <c r="H76" s="68"/>
      <c r="I76" s="68"/>
      <c r="J76" s="68"/>
      <c r="K76" s="68"/>
      <c r="L76" s="68"/>
      <c r="M76" s="68"/>
      <c r="N76" s="68"/>
      <c r="O76" s="66"/>
    </row>
    <row r="77" spans="6:15" s="21" customFormat="1" ht="13" x14ac:dyDescent="0.3">
      <c r="F77" s="66"/>
      <c r="G77" s="66"/>
      <c r="H77" s="68"/>
      <c r="I77" s="68"/>
      <c r="J77" s="68"/>
      <c r="K77" s="68"/>
      <c r="L77" s="68"/>
      <c r="M77" s="68"/>
      <c r="N77" s="68"/>
      <c r="O77" s="66"/>
    </row>
    <row r="78" spans="6:15" s="21" customFormat="1" ht="13" x14ac:dyDescent="0.3">
      <c r="F78" s="66"/>
      <c r="G78" s="66"/>
      <c r="H78" s="68"/>
      <c r="I78" s="68"/>
      <c r="J78" s="68"/>
      <c r="K78" s="68"/>
      <c r="L78" s="68"/>
      <c r="M78" s="68"/>
      <c r="N78" s="68"/>
      <c r="O78" s="66"/>
    </row>
    <row r="79" spans="6:15" s="21" customFormat="1" ht="13" x14ac:dyDescent="0.3">
      <c r="F79" s="66"/>
      <c r="G79" s="66"/>
      <c r="H79" s="68"/>
      <c r="I79" s="68"/>
      <c r="J79" s="68"/>
      <c r="K79" s="68"/>
      <c r="L79" s="68"/>
      <c r="M79" s="68"/>
      <c r="N79" s="68"/>
      <c r="O79" s="66"/>
    </row>
    <row r="80" spans="6:15" s="21" customFormat="1" ht="13" x14ac:dyDescent="0.3">
      <c r="F80" s="66"/>
      <c r="G80" s="66"/>
      <c r="H80" s="68"/>
      <c r="I80" s="68"/>
      <c r="J80" s="68"/>
      <c r="K80" s="68"/>
      <c r="L80" s="68"/>
      <c r="M80" s="68"/>
      <c r="N80" s="68"/>
      <c r="O80" s="66"/>
    </row>
    <row r="81" spans="6:15" s="21" customFormat="1" ht="13" x14ac:dyDescent="0.3">
      <c r="F81" s="66"/>
      <c r="G81" s="66"/>
      <c r="H81" s="68"/>
      <c r="I81" s="68"/>
      <c r="J81" s="68"/>
      <c r="K81" s="68"/>
      <c r="L81" s="68"/>
      <c r="M81" s="68"/>
      <c r="N81" s="68"/>
      <c r="O81" s="66"/>
    </row>
  </sheetData>
  <conditionalFormatting sqref="A10:O250">
    <cfRule type="expression" dxfId="0" priority="1">
      <formula>ISNUMBER(SEARCH("TOTAL",$C10))</formula>
    </cfRule>
  </conditionalFormatting>
  <pageMargins left="1" right="1" top="0.75" bottom="0.75" header="0.5" footer="1"/>
  <pageSetup scale="3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Main_Page</vt:lpstr>
      <vt:lpstr>Snowflake_Data</vt:lpstr>
      <vt:lpstr>TCPP_SCORECARD_SUMMARY</vt:lpstr>
      <vt:lpstr>TCPP_SCORECARD_DETAIL</vt:lpstr>
      <vt:lpstr>GroupBy_Summary</vt:lpstr>
      <vt:lpstr>GroupBy_Detail</vt:lpstr>
      <vt:lpstr>Report_Summary</vt:lpstr>
      <vt:lpstr>Report_Detail</vt:lpstr>
      <vt:lpstr>GroupBy_Detail!Customer_Name</vt:lpstr>
      <vt:lpstr>GroupBy_Summary!Customer_Name</vt:lpstr>
      <vt:lpstr>Customer_Name</vt:lpstr>
      <vt:lpstr>Report_Detail!Print_Area</vt:lpstr>
      <vt:lpstr>Report_Summary!Print_Area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Giddu</dc:creator>
  <cp:lastModifiedBy>Arun Giddu</cp:lastModifiedBy>
  <cp:lastPrinted>2026-07-12T19:33:28Z</cp:lastPrinted>
  <dcterms:created xsi:type="dcterms:W3CDTF">2026-07-12T18:58:01Z</dcterms:created>
  <dcterms:modified xsi:type="dcterms:W3CDTF">2026-08-27T19:53:50Z</dcterms:modified>
</cp:coreProperties>
</file>